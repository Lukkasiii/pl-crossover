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"/>
    </mc:Choice>
  </mc:AlternateContent>
  <xr:revisionPtr revIDLastSave="56" documentId="8_{1AFC1CE2-F688-4D63-ADB1-045FD1075216}" xr6:coauthVersionLast="47" xr6:coauthVersionMax="47" xr10:uidLastSave="{AF338E27-913A-4C95-AA6F-DDED85A418BB}"/>
  <bookViews>
    <workbookView xWindow="-110" yWindow="-110" windowWidth="25820" windowHeight="15500" xr2:uid="{EC768899-9168-4CD0-883D-B9F8C5DFA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N4" i="1"/>
  <c r="N5" i="1"/>
  <c r="N6" i="1"/>
  <c r="N3" i="1"/>
  <c r="M4" i="1"/>
  <c r="M5" i="1"/>
  <c r="M6" i="1"/>
  <c r="M3" i="1"/>
  <c r="L4" i="1"/>
  <c r="L5" i="1"/>
  <c r="L6" i="1"/>
  <c r="L3" i="1"/>
  <c r="K4" i="1"/>
  <c r="K5" i="1"/>
  <c r="K6" i="1"/>
  <c r="K3" i="1"/>
  <c r="J4" i="1"/>
  <c r="J5" i="1"/>
  <c r="J6" i="1"/>
  <c r="J3" i="1"/>
</calcChain>
</file>

<file path=xl/sharedStrings.xml><?xml version="1.0" encoding="utf-8"?>
<sst xmlns="http://schemas.openxmlformats.org/spreadsheetml/2006/main" count="45" uniqueCount="20">
  <si>
    <t>Season</t>
  </si>
  <si>
    <t>Games</t>
  </si>
  <si>
    <t>Current MAE</t>
  </si>
  <si>
    <t>Current RMSE</t>
  </si>
  <si>
    <t>Last Season MAE</t>
  </si>
  <si>
    <t>17-18</t>
  </si>
  <si>
    <t>18-19</t>
  </si>
  <si>
    <t>Last Season RMSE</t>
    <phoneticPr fontId="2" type="noConversion"/>
  </si>
  <si>
    <t>19-20</t>
    <phoneticPr fontId="2" type="noConversion"/>
  </si>
  <si>
    <t>20-21</t>
    <phoneticPr fontId="2" type="noConversion"/>
  </si>
  <si>
    <t>21-22</t>
    <phoneticPr fontId="2" type="noConversion"/>
  </si>
  <si>
    <t>22-23</t>
    <phoneticPr fontId="2" type="noConversion"/>
  </si>
  <si>
    <t>23-24</t>
    <phoneticPr fontId="2" type="noConversion"/>
  </si>
  <si>
    <t>24-25</t>
    <phoneticPr fontId="2" type="noConversion"/>
  </si>
  <si>
    <t>Avg Current MAE</t>
    <phoneticPr fontId="2" type="noConversion"/>
  </si>
  <si>
    <t>Avg Current RMSE</t>
    <phoneticPr fontId="2" type="noConversion"/>
  </si>
  <si>
    <t>Avg Last Season MAE</t>
    <phoneticPr fontId="2" type="noConversion"/>
  </si>
  <si>
    <t>Avg Last Season RMSE</t>
    <phoneticPr fontId="2" type="noConversion"/>
  </si>
  <si>
    <t>Difference</t>
    <phoneticPr fontId="2" type="noConversion"/>
  </si>
  <si>
    <t>Break-even 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</si>
</sst>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Average Prediction Error by Games Played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Avg 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Sheet1!$I$3:$I$6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Sheet1!$J$3:$J$6</c:f>
              <c:numCache>
                <c:formatCode>General</c:formatCode>
                <c:ptCount val="4"/>
                <c:pt idx="0">
                  <c:v>4.0625</c:v>
                </c:pt>
                <c:pt idx="1">
                  <c:v>3.4000000000000004</c:v>
                </c:pt>
                <c:pt idx="2">
                  <c:v>3</c:v>
                </c:pt>
                <c:pt idx="3">
                  <c:v>2.4875000000000003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E-4F87-A637-1E72E077DD3D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Avg 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Sheet1!$I$3:$I$6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Sheet1!$K$3:$K$6</c:f>
              <c:numCache>
                <c:formatCode>General</c:formatCode>
                <c:ptCount val="4"/>
                <c:pt idx="0">
                  <c:v>5.3317828928223356</c:v>
                </c:pt>
                <c:pt idx="1">
                  <c:v>4.5165041396806016</c:v>
                </c:pt>
                <c:pt idx="2">
                  <c:v>4.0416381320671002</c:v>
                </c:pt>
                <c:pt idx="3">
                  <c:v>3.5835439011419075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3E-4F87-A637-1E72E077DD3D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Avg 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Sheet1!$I$3:$I$6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Sheet1!$L$3:$L$6</c:f>
              <c:numCache>
                <c:formatCode>General</c:formatCode>
                <c:ptCount val="4"/>
                <c:pt idx="0">
                  <c:v>3.4687500000000004</c:v>
                </c:pt>
                <c:pt idx="1">
                  <c:v>3.4687500000000004</c:v>
                </c:pt>
                <c:pt idx="2">
                  <c:v>3.4687500000000004</c:v>
                </c:pt>
                <c:pt idx="3">
                  <c:v>3.4687500000000004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3E-4F87-A637-1E72E077DD3D}"/>
            </c:ext>
          </c:extLst>
        </c:ser>
        <c:ser>
          <c:idx val="3"/>
          <c:order val="3"/>
          <c:tx>
            <c:strRef>
              <c:f>Sheet1!$M$2</c:f>
              <c:strCache>
                <c:ptCount val="1"/>
                <c:pt idx="0">
                  <c:v>Avg 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Sheet1!$I$3:$I$6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Sheet1!$M$3:$M$6</c:f>
              <c:numCache>
                <c:formatCode>General</c:formatCode>
                <c:ptCount val="4"/>
                <c:pt idx="0">
                  <c:v>4.6432564763157718</c:v>
                </c:pt>
                <c:pt idx="1">
                  <c:v>4.6432564763157718</c:v>
                </c:pt>
                <c:pt idx="2">
                  <c:v>4.6432564763157718</c:v>
                </c:pt>
                <c:pt idx="3">
                  <c:v>4.6432564763157718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3E-4F87-A637-1E72E077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949600"/>
        <c:axId val="590950560"/>
      </c:scatterChart>
      <c:valAx>
        <c:axId val="590949600"/>
        <c:scaling>
          <c:orientation val="minMax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Games Played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950560"/>
        <c:crosses val="autoZero"/>
        <c:crossBetween val="midCat"/>
      </c:valAx>
      <c:valAx>
        <c:axId val="59095056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Prediction Error (MAE / RMSE)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94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8</xdr:row>
      <xdr:rowOff>50800</xdr:rowOff>
    </xdr:from>
    <xdr:to>
      <xdr:col>13</xdr:col>
      <xdr:colOff>787400</xdr:colOff>
      <xdr:row>32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12692E-EF2A-8DB5-72C6-B6184F4E2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786F-6EAB-4DAD-AA9C-93727CB71516}">
  <dimension ref="B2:P34"/>
  <sheetViews>
    <sheetView tabSelected="1" topLeftCell="B1" workbookViewId="0">
      <selection activeCell="N19" sqref="N19"/>
    </sheetView>
  </sheetViews>
  <sheetFormatPr defaultRowHeight="14" x14ac:dyDescent="0.3"/>
  <cols>
    <col min="4" max="4" width="12" bestFit="1" customWidth="1"/>
    <col min="5" max="5" width="13" bestFit="1" customWidth="1"/>
    <col min="6" max="6" width="15.83203125" customWidth="1"/>
    <col min="7" max="7" width="15.5" customWidth="1"/>
    <col min="10" max="10" width="16" bestFit="1" customWidth="1"/>
    <col min="11" max="11" width="17" bestFit="1" customWidth="1"/>
    <col min="12" max="12" width="19.5" bestFit="1" customWidth="1"/>
    <col min="13" max="13" width="20.5" bestFit="1" customWidth="1"/>
    <col min="14" max="14" width="13.33203125" bestFit="1" customWidth="1"/>
    <col min="16" max="16" width="16.08203125" bestFit="1" customWidth="1"/>
  </cols>
  <sheetData>
    <row r="2" spans="2:16" ht="42" x14ac:dyDescent="0.3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7</v>
      </c>
      <c r="I2" s="3" t="s">
        <v>1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P2" s="3" t="s">
        <v>19</v>
      </c>
    </row>
    <row r="3" spans="2:16" x14ac:dyDescent="0.3">
      <c r="B3" s="4" t="s">
        <v>5</v>
      </c>
      <c r="C3" s="2">
        <v>5</v>
      </c>
      <c r="D3" s="2">
        <v>4.5999999999999996</v>
      </c>
      <c r="E3" s="2">
        <v>6.0415229867972862</v>
      </c>
      <c r="F3" s="2">
        <v>3.4705882352941178</v>
      </c>
      <c r="G3" s="2">
        <v>4.6336366101901127</v>
      </c>
      <c r="I3" s="2">
        <v>5</v>
      </c>
      <c r="J3">
        <f>AVERAGEIF($C$3:$C$34,I3,$D$3:$D$34)</f>
        <v>4.0625</v>
      </c>
      <c r="K3">
        <f>AVERAGEIF($C$3:$C$34,I3,$E$3:$E$34)</f>
        <v>5.3317828928223356</v>
      </c>
      <c r="L3">
        <f>AVERAGEIF($C$3:$C$34,I3,$F$3:$F$34)</f>
        <v>3.4687500000000004</v>
      </c>
      <c r="M3">
        <f>AVERAGEIF($C$3:$C$34,I3,$G$3:$G$34)</f>
        <v>4.6432564763157718</v>
      </c>
      <c r="N3">
        <f>K3-M3</f>
        <v>0.68852641650656388</v>
      </c>
      <c r="P3">
        <f>I3+(0-N3)*(I4-I3)/(N4-N3)</f>
        <v>9.2226441806147825</v>
      </c>
    </row>
    <row r="4" spans="2:16" x14ac:dyDescent="0.3">
      <c r="B4" s="4" t="s">
        <v>5</v>
      </c>
      <c r="C4" s="2">
        <v>10</v>
      </c>
      <c r="D4" s="2">
        <v>3.3</v>
      </c>
      <c r="E4" s="2">
        <v>4.5055521304275237</v>
      </c>
      <c r="F4" s="2">
        <v>3.4705882352941178</v>
      </c>
      <c r="G4" s="2">
        <v>4.6336366101901127</v>
      </c>
      <c r="I4" s="2">
        <v>10</v>
      </c>
      <c r="J4">
        <f t="shared" ref="J4:J6" si="0">AVERAGEIF($C$3:$C$34,I4,$D$3:$D$34)</f>
        <v>3.4000000000000004</v>
      </c>
      <c r="K4">
        <f t="shared" ref="K4:K6" si="1">AVERAGEIF($C$3:$C$34,I4,$E$3:$E$34)</f>
        <v>4.5165041396806016</v>
      </c>
      <c r="L4">
        <f t="shared" ref="L4:L6" si="2">AVERAGEIF($C$3:$C$34,I4,$F$3:$F$34)</f>
        <v>3.4687500000000004</v>
      </c>
      <c r="M4">
        <f t="shared" ref="M4:M6" si="3">AVERAGEIF($C$3:$C$34,I4,$G$3:$G$34)</f>
        <v>4.6432564763157718</v>
      </c>
      <c r="N4">
        <f t="shared" ref="N4:N6" si="4">K4-M4</f>
        <v>-0.12675233663517016</v>
      </c>
    </row>
    <row r="5" spans="2:16" x14ac:dyDescent="0.3">
      <c r="B5" s="4" t="s">
        <v>5</v>
      </c>
      <c r="C5" s="2">
        <v>15</v>
      </c>
      <c r="D5" s="2">
        <v>2.85</v>
      </c>
      <c r="E5" s="2">
        <v>3.7749172176353749</v>
      </c>
      <c r="F5" s="2">
        <v>3.4705882352941178</v>
      </c>
      <c r="G5" s="2">
        <v>4.6336366101901127</v>
      </c>
      <c r="I5" s="2">
        <v>15</v>
      </c>
      <c r="J5">
        <f t="shared" si="0"/>
        <v>3</v>
      </c>
      <c r="K5">
        <f t="shared" si="1"/>
        <v>4.0416381320671002</v>
      </c>
      <c r="L5">
        <f t="shared" si="2"/>
        <v>3.4687500000000004</v>
      </c>
      <c r="M5">
        <f t="shared" si="3"/>
        <v>4.6432564763157718</v>
      </c>
      <c r="N5">
        <f t="shared" si="4"/>
        <v>-0.60161834424867155</v>
      </c>
    </row>
    <row r="6" spans="2:16" x14ac:dyDescent="0.3">
      <c r="B6" s="4" t="s">
        <v>5</v>
      </c>
      <c r="C6" s="2">
        <v>20</v>
      </c>
      <c r="D6" s="2">
        <v>2.2000000000000002</v>
      </c>
      <c r="E6" s="2">
        <v>3.0659419433511785</v>
      </c>
      <c r="F6" s="2">
        <v>3.4705882352941178</v>
      </c>
      <c r="G6" s="2">
        <v>4.6336366101901127</v>
      </c>
      <c r="I6" s="2">
        <v>20</v>
      </c>
      <c r="J6">
        <f t="shared" si="0"/>
        <v>2.4875000000000003</v>
      </c>
      <c r="K6">
        <f t="shared" si="1"/>
        <v>3.5835439011419075</v>
      </c>
      <c r="L6">
        <f t="shared" si="2"/>
        <v>3.4687500000000004</v>
      </c>
      <c r="M6">
        <f t="shared" si="3"/>
        <v>4.6432564763157718</v>
      </c>
      <c r="N6">
        <f t="shared" si="4"/>
        <v>-1.0597125751738643</v>
      </c>
    </row>
    <row r="7" spans="2:16" x14ac:dyDescent="0.3">
      <c r="B7" s="4" t="s">
        <v>6</v>
      </c>
      <c r="C7" s="2">
        <v>5</v>
      </c>
      <c r="D7" s="2">
        <v>6.4</v>
      </c>
      <c r="E7" s="2">
        <v>7.6746335417399569</v>
      </c>
      <c r="F7" s="2">
        <v>4.75</v>
      </c>
      <c r="G7" s="2">
        <v>7.6452599694189605</v>
      </c>
    </row>
    <row r="8" spans="2:16" x14ac:dyDescent="0.3">
      <c r="B8" s="4" t="s">
        <v>6</v>
      </c>
      <c r="C8" s="2">
        <v>10</v>
      </c>
      <c r="D8" s="2">
        <v>5.8</v>
      </c>
      <c r="E8" s="2">
        <v>7.5365774725667087</v>
      </c>
      <c r="F8" s="2">
        <v>4.75</v>
      </c>
      <c r="G8" s="2">
        <v>7.6452599694189605</v>
      </c>
    </row>
    <row r="9" spans="2:16" x14ac:dyDescent="0.3">
      <c r="B9" s="4" t="s">
        <v>6</v>
      </c>
      <c r="C9" s="2">
        <v>15</v>
      </c>
      <c r="D9">
        <v>5.15</v>
      </c>
      <c r="E9">
        <v>7.338255923582933</v>
      </c>
      <c r="F9">
        <v>4.75</v>
      </c>
      <c r="G9">
        <v>7.6452599694189605</v>
      </c>
    </row>
    <row r="10" spans="2:16" x14ac:dyDescent="0.3">
      <c r="B10" s="4" t="s">
        <v>6</v>
      </c>
      <c r="C10" s="2">
        <v>20</v>
      </c>
      <c r="D10">
        <v>5</v>
      </c>
      <c r="E10">
        <v>7.758865896508329</v>
      </c>
      <c r="F10">
        <v>4.75</v>
      </c>
      <c r="G10">
        <v>7.6452599694189605</v>
      </c>
    </row>
    <row r="11" spans="2:16" x14ac:dyDescent="0.3">
      <c r="B11" s="4" t="s">
        <v>8</v>
      </c>
      <c r="C11">
        <v>5</v>
      </c>
      <c r="D11">
        <v>3</v>
      </c>
      <c r="E11">
        <v>4.3931765272977596</v>
      </c>
      <c r="F11">
        <v>3.1176470588235294</v>
      </c>
      <c r="G11">
        <v>3.5727728562494625</v>
      </c>
    </row>
    <row r="12" spans="2:16" x14ac:dyDescent="0.3">
      <c r="B12" s="4" t="s">
        <v>8</v>
      </c>
      <c r="C12">
        <v>10</v>
      </c>
      <c r="D12">
        <v>2.75</v>
      </c>
      <c r="E12">
        <v>3.6537651812890219</v>
      </c>
      <c r="F12">
        <v>3.1176470588235294</v>
      </c>
      <c r="G12">
        <v>3.5727728562494625</v>
      </c>
    </row>
    <row r="13" spans="2:16" x14ac:dyDescent="0.3">
      <c r="B13" s="4" t="s">
        <v>8</v>
      </c>
      <c r="C13">
        <v>15</v>
      </c>
      <c r="D13">
        <v>2.5</v>
      </c>
      <c r="E13">
        <v>3.4205262752974139</v>
      </c>
      <c r="F13">
        <v>3.1176470588235294</v>
      </c>
      <c r="G13">
        <v>3.5727728562494625</v>
      </c>
    </row>
    <row r="14" spans="2:16" x14ac:dyDescent="0.3">
      <c r="B14" s="4" t="s">
        <v>8</v>
      </c>
      <c r="C14">
        <v>20</v>
      </c>
      <c r="D14">
        <v>2.1</v>
      </c>
      <c r="E14">
        <v>3.0659419433511785</v>
      </c>
      <c r="F14">
        <v>3.1176470588235294</v>
      </c>
      <c r="G14">
        <v>3.5727728562494625</v>
      </c>
    </row>
    <row r="15" spans="2:16" x14ac:dyDescent="0.3">
      <c r="B15" s="4" t="s">
        <v>9</v>
      </c>
      <c r="C15">
        <v>5</v>
      </c>
      <c r="D15">
        <v>3.6</v>
      </c>
      <c r="E15">
        <v>5.205766033928148</v>
      </c>
      <c r="F15">
        <v>3.2352941176470589</v>
      </c>
      <c r="G15">
        <v>4.4523622282744144</v>
      </c>
    </row>
    <row r="16" spans="2:16" x14ac:dyDescent="0.3">
      <c r="B16" s="4" t="s">
        <v>9</v>
      </c>
      <c r="C16">
        <v>10</v>
      </c>
      <c r="D16">
        <v>3.2</v>
      </c>
      <c r="E16">
        <v>3.8600518131237567</v>
      </c>
      <c r="F16">
        <v>3.2352941176470589</v>
      </c>
      <c r="G16">
        <v>4.4523622282744144</v>
      </c>
    </row>
    <row r="17" spans="2:7" x14ac:dyDescent="0.3">
      <c r="B17" s="4" t="s">
        <v>9</v>
      </c>
      <c r="C17">
        <v>15</v>
      </c>
      <c r="D17">
        <v>2.75</v>
      </c>
      <c r="E17">
        <v>3.3837848631377261</v>
      </c>
      <c r="F17">
        <v>3.2352941176470589</v>
      </c>
      <c r="G17">
        <v>4.4523622282744144</v>
      </c>
    </row>
    <row r="18" spans="2:7" x14ac:dyDescent="0.3">
      <c r="B18" s="4" t="s">
        <v>9</v>
      </c>
      <c r="C18">
        <v>20</v>
      </c>
      <c r="D18">
        <v>2.25</v>
      </c>
      <c r="E18">
        <v>2.8372521918222215</v>
      </c>
      <c r="F18">
        <v>3.2352941176470589</v>
      </c>
      <c r="G18">
        <v>4.4523622282744144</v>
      </c>
    </row>
    <row r="19" spans="2:7" x14ac:dyDescent="0.3">
      <c r="B19" s="4" t="s">
        <v>10</v>
      </c>
      <c r="C19">
        <v>5</v>
      </c>
      <c r="D19">
        <v>4.0999999999999996</v>
      </c>
      <c r="E19">
        <v>5.3572380943915494</v>
      </c>
      <c r="F19">
        <v>2.5882352941176472</v>
      </c>
      <c r="G19">
        <v>3.2539568672798427</v>
      </c>
    </row>
    <row r="20" spans="2:7" x14ac:dyDescent="0.3">
      <c r="B20" s="4" t="s">
        <v>10</v>
      </c>
      <c r="C20">
        <v>10</v>
      </c>
      <c r="D20">
        <v>3.5</v>
      </c>
      <c r="E20">
        <v>4.8062459362791667</v>
      </c>
      <c r="F20">
        <v>2.5882352941176472</v>
      </c>
      <c r="G20">
        <v>3.2539568672798427</v>
      </c>
    </row>
    <row r="21" spans="2:7" x14ac:dyDescent="0.3">
      <c r="B21" s="4" t="s">
        <v>10</v>
      </c>
      <c r="C21">
        <v>15</v>
      </c>
      <c r="D21">
        <v>2.7</v>
      </c>
      <c r="E21">
        <v>3.4205262752974139</v>
      </c>
      <c r="F21">
        <v>2.5882352941176472</v>
      </c>
      <c r="G21">
        <v>3.2539568672798427</v>
      </c>
    </row>
    <row r="22" spans="2:7" x14ac:dyDescent="0.3">
      <c r="B22" s="4" t="s">
        <v>10</v>
      </c>
      <c r="C22">
        <v>20</v>
      </c>
      <c r="D22">
        <v>1.55</v>
      </c>
      <c r="E22">
        <v>2.4799193535274489</v>
      </c>
      <c r="F22">
        <v>2.5882352941176472</v>
      </c>
      <c r="G22">
        <v>3.2539568672798427</v>
      </c>
    </row>
    <row r="23" spans="2:7" x14ac:dyDescent="0.3">
      <c r="B23" s="4" t="s">
        <v>11</v>
      </c>
      <c r="C23">
        <v>5</v>
      </c>
      <c r="D23">
        <v>4.1500000000000004</v>
      </c>
      <c r="E23">
        <v>5.5181518645285577</v>
      </c>
      <c r="F23">
        <v>4.5294117647058822</v>
      </c>
      <c r="G23">
        <v>5.4069671829637596</v>
      </c>
    </row>
    <row r="24" spans="2:7" x14ac:dyDescent="0.3">
      <c r="B24" s="4" t="s">
        <v>11</v>
      </c>
      <c r="C24">
        <v>10</v>
      </c>
      <c r="D24">
        <v>3.1</v>
      </c>
      <c r="E24">
        <v>3.8470768123342691</v>
      </c>
      <c r="F24">
        <v>4.5294117647058822</v>
      </c>
      <c r="G24">
        <v>5.4069671829637596</v>
      </c>
    </row>
    <row r="25" spans="2:7" x14ac:dyDescent="0.3">
      <c r="B25" s="4" t="s">
        <v>11</v>
      </c>
      <c r="C25">
        <v>15</v>
      </c>
      <c r="D25">
        <v>2.9</v>
      </c>
      <c r="E25">
        <v>3.7815340802378077</v>
      </c>
      <c r="F25">
        <v>4.5294117647058822</v>
      </c>
      <c r="G25">
        <v>5.4069671829637596</v>
      </c>
    </row>
    <row r="26" spans="2:7" x14ac:dyDescent="0.3">
      <c r="B26" s="4" t="s">
        <v>11</v>
      </c>
      <c r="C26">
        <v>20</v>
      </c>
      <c r="D26">
        <v>2.6</v>
      </c>
      <c r="E26">
        <v>3.1464265445104549</v>
      </c>
      <c r="F26">
        <v>4.5294117647058822</v>
      </c>
      <c r="G26">
        <v>5.4069671829637596</v>
      </c>
    </row>
    <row r="27" spans="2:7" x14ac:dyDescent="0.3">
      <c r="B27" s="4" t="s">
        <v>12</v>
      </c>
      <c r="C27">
        <v>5</v>
      </c>
      <c r="D27">
        <v>3.5</v>
      </c>
      <c r="E27">
        <v>4.358898943540674</v>
      </c>
      <c r="F27">
        <v>3</v>
      </c>
      <c r="G27">
        <v>3.8424869397764962</v>
      </c>
    </row>
    <row r="28" spans="2:7" x14ac:dyDescent="0.3">
      <c r="B28" s="4" t="s">
        <v>12</v>
      </c>
      <c r="C28">
        <v>10</v>
      </c>
      <c r="D28">
        <v>2.8</v>
      </c>
      <c r="E28">
        <v>3.6742346141747673</v>
      </c>
      <c r="F28">
        <v>3</v>
      </c>
      <c r="G28">
        <v>3.8424869397764962</v>
      </c>
    </row>
    <row r="29" spans="2:7" x14ac:dyDescent="0.3">
      <c r="B29" s="4" t="s">
        <v>12</v>
      </c>
      <c r="C29">
        <v>15</v>
      </c>
      <c r="D29">
        <v>2.0499999999999998</v>
      </c>
      <c r="E29">
        <v>2.9240383034426891</v>
      </c>
      <c r="F29">
        <v>3</v>
      </c>
      <c r="G29">
        <v>3.8424869397764962</v>
      </c>
    </row>
    <row r="30" spans="2:7" x14ac:dyDescent="0.3">
      <c r="B30" s="4" t="s">
        <v>12</v>
      </c>
      <c r="C30">
        <v>20</v>
      </c>
      <c r="D30">
        <v>1.95</v>
      </c>
      <c r="E30">
        <v>2.6739483914241875</v>
      </c>
      <c r="F30">
        <v>3</v>
      </c>
      <c r="G30">
        <v>3.8424869397764962</v>
      </c>
    </row>
    <row r="31" spans="2:7" x14ac:dyDescent="0.3">
      <c r="B31" s="4" t="s">
        <v>13</v>
      </c>
      <c r="C31">
        <v>5</v>
      </c>
      <c r="D31">
        <v>3.15</v>
      </c>
      <c r="E31">
        <v>4.1048751503547587</v>
      </c>
      <c r="F31">
        <v>3.0588235294117645</v>
      </c>
      <c r="G31">
        <v>4.3386091563731233</v>
      </c>
    </row>
    <row r="32" spans="2:7" x14ac:dyDescent="0.3">
      <c r="B32" s="4" t="s">
        <v>13</v>
      </c>
      <c r="C32">
        <v>10</v>
      </c>
      <c r="D32">
        <v>2.75</v>
      </c>
      <c r="E32">
        <v>4.2485291572496005</v>
      </c>
      <c r="F32">
        <v>3.0588235294117645</v>
      </c>
      <c r="G32">
        <v>4.3386091563731233</v>
      </c>
    </row>
    <row r="33" spans="2:7" x14ac:dyDescent="0.3">
      <c r="B33" s="4" t="s">
        <v>13</v>
      </c>
      <c r="C33">
        <v>15</v>
      </c>
      <c r="D33">
        <v>3.1</v>
      </c>
      <c r="E33">
        <v>4.2895221179054435</v>
      </c>
      <c r="F33">
        <v>3.0588235294117645</v>
      </c>
      <c r="G33">
        <v>4.3386091563731233</v>
      </c>
    </row>
    <row r="34" spans="2:7" x14ac:dyDescent="0.3">
      <c r="B34" s="4" t="s">
        <v>13</v>
      </c>
      <c r="C34">
        <v>20</v>
      </c>
      <c r="D34">
        <v>2.25</v>
      </c>
      <c r="E34">
        <v>3.640054944640259</v>
      </c>
      <c r="F34">
        <v>3.0588235294117645</v>
      </c>
      <c r="G34">
        <v>4.3386091563731233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Xiwen Hu</dc:creator>
  <cp:lastModifiedBy>Xiwen Hu</cp:lastModifiedBy>
  <dcterms:created xsi:type="dcterms:W3CDTF">2026-04-27T19:17:51Z</dcterms:created>
  <dcterms:modified xsi:type="dcterms:W3CDTF">2026-04-28T08:38:13Z</dcterms:modified>
</cp:coreProperties>
</file>