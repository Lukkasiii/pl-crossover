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新建文件夹/"/>
    </mc:Choice>
  </mc:AlternateContent>
  <xr:revisionPtr revIDLastSave="5" documentId="11_38CA1B920C0BBE8FC458CBC63434567B9B53EB1A" xr6:coauthVersionLast="47" xr6:coauthVersionMax="47" xr10:uidLastSave="{367EAA59-C34C-4CE5-97A5-676EFF5B3715}"/>
  <bookViews>
    <workbookView xWindow="-110" yWindow="-110" windowWidth="25820" windowHeight="15500" activeTab="5" xr2:uid="{00000000-000D-0000-FFFF-FFFF00000000}"/>
  </bookViews>
  <sheets>
    <sheet name="21-22" sheetId="1" r:id="rId1"/>
    <sheet name="22-23 First 5" sheetId="2" r:id="rId2"/>
    <sheet name="22-23 First 10" sheetId="3" r:id="rId3"/>
    <sheet name="22-23 First 15" sheetId="4" r:id="rId4"/>
    <sheet name="22-23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H19" i="6" s="1"/>
  <c r="M19" i="6" s="1"/>
  <c r="R19" i="6" s="1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H8" i="6" s="1"/>
  <c r="M8" i="6" s="1"/>
  <c r="R8" i="6" s="1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K20" i="6" l="1"/>
  <c r="P20" i="6" s="1"/>
  <c r="U20" i="6" s="1"/>
  <c r="I18" i="6"/>
  <c r="N18" i="6" s="1"/>
  <c r="S18" i="6" s="1"/>
  <c r="L13" i="6"/>
  <c r="Q13" i="6" s="1"/>
  <c r="V13" i="6" s="1"/>
  <c r="J19" i="6"/>
  <c r="O19" i="6" s="1"/>
  <c r="T19" i="6" s="1"/>
  <c r="L17" i="6"/>
  <c r="Q17" i="6" s="1"/>
  <c r="V17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H21" i="6"/>
  <c r="M21" i="6" s="1"/>
  <c r="R21" i="6" s="1"/>
  <c r="L20" i="6"/>
  <c r="Q20" i="6" s="1"/>
  <c r="V20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K16" i="6"/>
  <c r="P16" i="6" s="1"/>
  <c r="J16" i="6"/>
  <c r="O16" i="6" s="1"/>
  <c r="I16" i="6"/>
  <c r="N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I15" i="6"/>
  <c r="N15" i="6" s="1"/>
  <c r="S15" i="6" s="1"/>
  <c r="H15" i="6"/>
  <c r="M15" i="6" s="1"/>
  <c r="R15" i="6" s="1"/>
  <c r="L14" i="6"/>
  <c r="Q14" i="6" s="1"/>
  <c r="V14" i="6" s="1"/>
  <c r="I14" i="6"/>
  <c r="N14" i="6" s="1"/>
  <c r="S14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T12" i="6" s="1"/>
  <c r="I12" i="6"/>
  <c r="N12" i="6" s="1"/>
  <c r="S12" i="6" s="1"/>
  <c r="H12" i="6"/>
  <c r="M12" i="6" s="1"/>
  <c r="R12" i="6" s="1"/>
  <c r="L11" i="6"/>
  <c r="Q11" i="6" s="1"/>
  <c r="V11" i="6" s="1"/>
  <c r="K11" i="6"/>
  <c r="P11" i="6" s="1"/>
  <c r="U11" i="6" s="1"/>
  <c r="J11" i="6"/>
  <c r="O11" i="6" s="1"/>
  <c r="T11" i="6" s="1"/>
  <c r="I11" i="6"/>
  <c r="N11" i="6" s="1"/>
  <c r="S11" i="6" s="1"/>
  <c r="H11" i="6"/>
  <c r="M11" i="6" s="1"/>
  <c r="R11" i="6" s="1"/>
  <c r="L10" i="6"/>
  <c r="Q10" i="6" s="1"/>
  <c r="V10" i="6" s="1"/>
  <c r="K10" i="6"/>
  <c r="P10" i="6" s="1"/>
  <c r="U10" i="6" s="1"/>
  <c r="J10" i="6"/>
  <c r="O10" i="6" s="1"/>
  <c r="T10" i="6" s="1"/>
  <c r="I10" i="6"/>
  <c r="N10" i="6" s="1"/>
  <c r="S10" i="6" s="1"/>
  <c r="H10" i="6"/>
  <c r="M10" i="6" s="1"/>
  <c r="R10" i="6" s="1"/>
  <c r="L9" i="6"/>
  <c r="Q9" i="6" s="1"/>
  <c r="V9" i="6" s="1"/>
  <c r="K9" i="6"/>
  <c r="P9" i="6" s="1"/>
  <c r="U9" i="6" s="1"/>
  <c r="H7" i="6"/>
  <c r="M7" i="6" s="1"/>
  <c r="R7" i="6" s="1"/>
  <c r="L6" i="6"/>
  <c r="Q6" i="6" s="1"/>
  <c r="V6" i="6" s="1"/>
  <c r="K6" i="6"/>
  <c r="P6" i="6" s="1"/>
  <c r="U6" i="6" s="1"/>
  <c r="I6" i="6"/>
  <c r="N6" i="6" s="1"/>
  <c r="S6" i="6" s="1"/>
  <c r="L5" i="6"/>
  <c r="Q5" i="6" s="1"/>
  <c r="V5" i="6" s="1"/>
  <c r="H18" i="6"/>
  <c r="M18" i="6" s="1"/>
  <c r="R18" i="6" s="1"/>
  <c r="K13" i="6"/>
  <c r="P13" i="6" s="1"/>
  <c r="U13" i="6" s="1"/>
  <c r="J9" i="6"/>
  <c r="O9" i="6" s="1"/>
  <c r="T9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J6" i="6"/>
  <c r="O6" i="6" s="1"/>
  <c r="T6" i="6" s="1"/>
  <c r="H6" i="6"/>
  <c r="M6" i="6" s="1"/>
  <c r="R6" i="6" s="1"/>
  <c r="K5" i="6"/>
  <c r="P5" i="6" s="1"/>
  <c r="U5" i="6" s="1"/>
  <c r="K14" i="6"/>
  <c r="P14" i="6" s="1"/>
  <c r="U14" i="6" s="1"/>
  <c r="J5" i="6"/>
  <c r="O5" i="6" s="1"/>
  <c r="T5" i="6" s="1"/>
  <c r="I5" i="6"/>
  <c r="N5" i="6" s="1"/>
  <c r="S5" i="6" s="1"/>
  <c r="H5" i="6"/>
  <c r="M5" i="6" s="1"/>
  <c r="R5" i="6" s="1"/>
  <c r="L4" i="6"/>
  <c r="Q4" i="6" s="1"/>
  <c r="V4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H20" i="6"/>
  <c r="M20" i="6" s="1"/>
  <c r="R20" i="6" s="1"/>
  <c r="L18" i="6"/>
  <c r="Q18" i="6" s="1"/>
  <c r="V18" i="6" s="1"/>
  <c r="K18" i="6"/>
  <c r="P18" i="6" s="1"/>
  <c r="U18" i="6" s="1"/>
  <c r="L19" i="6"/>
  <c r="Q19" i="6" s="1"/>
  <c r="V19" i="6" s="1"/>
  <c r="J14" i="6"/>
  <c r="O14" i="6" s="1"/>
  <c r="T14" i="6" s="1"/>
  <c r="J20" i="6"/>
  <c r="O20" i="6" s="1"/>
  <c r="T20" i="6" s="1"/>
  <c r="K19" i="6"/>
  <c r="P19" i="6" s="1"/>
  <c r="U19" i="6" s="1"/>
  <c r="I19" i="6"/>
  <c r="N19" i="6" s="1"/>
  <c r="S19" i="6" s="1"/>
  <c r="I20" i="6"/>
  <c r="N20" i="6" s="1"/>
  <c r="S20" i="6" s="1"/>
  <c r="J18" i="6"/>
  <c r="O18" i="6" s="1"/>
  <c r="T18" i="6" s="1"/>
  <c r="H14" i="6"/>
  <c r="M14" i="6" s="1"/>
  <c r="R14" i="6" s="1"/>
  <c r="H2" i="6"/>
  <c r="M2" i="6" s="1"/>
  <c r="V16" i="6" l="1"/>
  <c r="Z5" i="6" s="1"/>
  <c r="Y5" i="6"/>
  <c r="U16" i="6"/>
  <c r="Z4" i="6" s="1"/>
  <c r="Y4" i="6"/>
  <c r="T16" i="6"/>
  <c r="Z3" i="6" s="1"/>
  <c r="Y3" i="6"/>
  <c r="S16" i="6"/>
  <c r="Z2" i="6" s="1"/>
  <c r="Y2" i="6"/>
  <c r="AA2" i="6"/>
  <c r="R2" i="6"/>
  <c r="AA3" i="6"/>
  <c r="AA4" i="6"/>
  <c r="AA5" i="6"/>
  <c r="AB5" i="6" l="1"/>
  <c r="AB4" i="6"/>
  <c r="AB2" i="6"/>
  <c r="AB3" i="6"/>
</calcChain>
</file>

<file path=xl/sharedStrings.xml><?xml version="1.0" encoding="utf-8"?>
<sst xmlns="http://schemas.openxmlformats.org/spreadsheetml/2006/main" count="207" uniqueCount="62">
  <si>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</si>
  <si>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</si>
  <si>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</si>
  <si>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</si>
  <si>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</si>
  <si>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</si>
  <si>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</si>
  <si>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</si>
  <si>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</si>
  <si>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</si>
  <si>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</si>
  <si>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</si>
  <si>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Arsenal</t>
  </si>
  <si>
    <t>Manchester City</t>
  </si>
  <si>
    <t>Newcastle United</t>
  </si>
  <si>
    <t>Manchester United</t>
  </si>
  <si>
    <t>Tottenham</t>
  </si>
  <si>
    <t>Brighton</t>
  </si>
  <si>
    <t>Fulham</t>
  </si>
  <si>
    <t>Brentford</t>
  </si>
  <si>
    <t>Liverpool</t>
  </si>
  <si>
    <t>Chelsea</t>
  </si>
  <si>
    <t>Aston Villa</t>
  </si>
  <si>
    <t>Crystal Palace</t>
  </si>
  <si>
    <t>Nottingham Forest</t>
  </si>
  <si>
    <t>Leicester</t>
  </si>
  <si>
    <t>Leeds</t>
  </si>
  <si>
    <t>West Ham</t>
  </si>
  <si>
    <t>Wolverhampton Wanderers</t>
  </si>
  <si>
    <t>Bournemouth</t>
  </si>
  <si>
    <t>Everton</t>
  </si>
  <si>
    <t>Southampton</t>
  </si>
  <si>
    <t>Burnley</t>
  </si>
  <si>
    <t>Watford</t>
  </si>
  <si>
    <t>Norwich</t>
  </si>
  <si>
    <t>Team</t>
  </si>
  <si>
    <t>21-22 GD/Game</t>
  </si>
  <si>
    <t>22-23 GD/Game 5</t>
  </si>
  <si>
    <t>22-23 GD/Game 10</t>
  </si>
  <si>
    <t>22-23 GD/Game 15</t>
  </si>
  <si>
    <t>22-23 GD/Game 20</t>
  </si>
  <si>
    <t>Final Rank</t>
  </si>
  <si>
    <t>Rank 21-22</t>
  </si>
  <si>
    <t>Rank 5</t>
  </si>
  <si>
    <t>Rank 10</t>
  </si>
  <si>
    <t>Rank 15</t>
  </si>
  <si>
    <t>Rank 20</t>
  </si>
  <si>
    <t>Error 21-22</t>
  </si>
  <si>
    <t>Error 5</t>
  </si>
  <si>
    <t>Error 10</t>
  </si>
  <si>
    <t>Error 15</t>
  </si>
  <si>
    <t>Error 20</t>
  </si>
  <si>
    <t>Sq Error 21-22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</si>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</sst>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1" fontId="0" fillId="3" borderId="0" xfId="0" applyNumberFormat="1" applyFill="1"/>
    <xf numFmtId="0" fontId="0" fillId="3" borderId="0" xfId="0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4.1500000000000004</c:v>
                </c:pt>
                <c:pt idx="1">
                  <c:v>3.1</c:v>
                </c:pt>
                <c:pt idx="2">
                  <c:v>2.9</c:v>
                </c:pt>
                <c:pt idx="3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A-4062-96CE-2CA8B3D628A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5.5181518645285577</c:v>
                </c:pt>
                <c:pt idx="1">
                  <c:v>3.8470768123342691</c:v>
                </c:pt>
                <c:pt idx="2">
                  <c:v>3.7815340802378077</c:v>
                </c:pt>
                <c:pt idx="3">
                  <c:v>3.1464265445104549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9A-4062-96CE-2CA8B3D628A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4.5294117647058822</c:v>
                </c:pt>
                <c:pt idx="1">
                  <c:v>4.5294117647058822</c:v>
                </c:pt>
                <c:pt idx="2">
                  <c:v>4.5294117647058822</c:v>
                </c:pt>
                <c:pt idx="3">
                  <c:v>4.5294117647058822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9A-4062-96CE-2CA8B3D628AF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5.4069671829637596</c:v>
                </c:pt>
                <c:pt idx="1">
                  <c:v>5.4069671829637596</c:v>
                </c:pt>
                <c:pt idx="2">
                  <c:v>5.4069671829637596</c:v>
                </c:pt>
                <c:pt idx="3">
                  <c:v>5.4069671829637596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A-4062-96CE-2CA8B3D62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077424"/>
        <c:axId val="1290101424"/>
      </c:scatterChart>
      <c:valAx>
        <c:axId val="129007742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0101424"/>
        <c:crosses val="autoZero"/>
        <c:crossBetween val="midCat"/>
      </c:valAx>
      <c:valAx>
        <c:axId val="129010142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007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615950</xdr:colOff>
      <xdr:row>8</xdr:row>
      <xdr:rowOff>114306</xdr:rowOff>
    </xdr:from>
    <xdr:to>
      <xdr:col>26</xdr:col>
      <xdr:colOff>965200</xdr:colOff>
      <xdr:row>23</xdr:row>
      <xdr:rowOff>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91DE2D-092C-7BFD-9CF5-69FFA6493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B39" sqref="B39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13</v>
      </c>
      <c r="C2">
        <v>38</v>
      </c>
      <c r="D2">
        <v>29</v>
      </c>
      <c r="E2">
        <v>6</v>
      </c>
      <c r="F2">
        <v>3</v>
      </c>
      <c r="G2">
        <v>99</v>
      </c>
      <c r="H2">
        <v>26</v>
      </c>
      <c r="I2">
        <v>93</v>
      </c>
      <c r="J2">
        <v>93.4</v>
      </c>
      <c r="K2">
        <v>25.21</v>
      </c>
      <c r="L2">
        <v>91.88</v>
      </c>
    </row>
    <row r="3" spans="1:12" x14ac:dyDescent="0.25">
      <c r="A3">
        <v>2</v>
      </c>
      <c r="B3" t="s">
        <v>20</v>
      </c>
      <c r="C3">
        <v>38</v>
      </c>
      <c r="D3">
        <v>28</v>
      </c>
      <c r="E3">
        <v>8</v>
      </c>
      <c r="F3">
        <v>2</v>
      </c>
      <c r="G3">
        <v>94</v>
      </c>
      <c r="H3">
        <v>26</v>
      </c>
      <c r="I3">
        <v>92</v>
      </c>
      <c r="J3">
        <v>93.02</v>
      </c>
      <c r="K3">
        <v>32.729999999999997</v>
      </c>
      <c r="L3">
        <v>86.56</v>
      </c>
    </row>
    <row r="4" spans="1:12" x14ac:dyDescent="0.25">
      <c r="A4">
        <v>3</v>
      </c>
      <c r="B4" t="s">
        <v>21</v>
      </c>
      <c r="C4">
        <v>38</v>
      </c>
      <c r="D4">
        <v>21</v>
      </c>
      <c r="E4">
        <v>11</v>
      </c>
      <c r="F4">
        <v>6</v>
      </c>
      <c r="G4">
        <v>76</v>
      </c>
      <c r="H4">
        <v>33</v>
      </c>
      <c r="I4">
        <v>74</v>
      </c>
      <c r="J4">
        <v>69.3</v>
      </c>
      <c r="K4">
        <v>35.119999999999997</v>
      </c>
      <c r="L4">
        <v>73.38</v>
      </c>
    </row>
    <row r="5" spans="1:12" x14ac:dyDescent="0.25">
      <c r="A5">
        <v>4</v>
      </c>
      <c r="B5" t="s">
        <v>16</v>
      </c>
      <c r="C5">
        <v>38</v>
      </c>
      <c r="D5">
        <v>22</v>
      </c>
      <c r="E5">
        <v>5</v>
      </c>
      <c r="F5">
        <v>11</v>
      </c>
      <c r="G5">
        <v>69</v>
      </c>
      <c r="H5">
        <v>40</v>
      </c>
      <c r="I5">
        <v>71</v>
      </c>
      <c r="J5">
        <v>67.95</v>
      </c>
      <c r="K5">
        <v>43.7</v>
      </c>
      <c r="L5">
        <v>66.09</v>
      </c>
    </row>
    <row r="6" spans="1:12" x14ac:dyDescent="0.25">
      <c r="A6">
        <v>5</v>
      </c>
      <c r="B6" t="s">
        <v>12</v>
      </c>
      <c r="C6">
        <v>38</v>
      </c>
      <c r="D6">
        <v>22</v>
      </c>
      <c r="E6">
        <v>3</v>
      </c>
      <c r="F6">
        <v>13</v>
      </c>
      <c r="G6">
        <v>61</v>
      </c>
      <c r="H6">
        <v>48</v>
      </c>
      <c r="I6">
        <v>69</v>
      </c>
      <c r="J6">
        <v>63.39</v>
      </c>
      <c r="K6">
        <v>48.39</v>
      </c>
      <c r="L6">
        <v>64.760000000000005</v>
      </c>
    </row>
    <row r="7" spans="1:12" x14ac:dyDescent="0.25">
      <c r="A7">
        <v>6</v>
      </c>
      <c r="B7" t="s">
        <v>15</v>
      </c>
      <c r="C7">
        <v>38</v>
      </c>
      <c r="D7">
        <v>16</v>
      </c>
      <c r="E7">
        <v>10</v>
      </c>
      <c r="F7">
        <v>12</v>
      </c>
      <c r="G7">
        <v>57</v>
      </c>
      <c r="H7">
        <v>57</v>
      </c>
      <c r="I7">
        <v>58</v>
      </c>
      <c r="J7">
        <v>57.21</v>
      </c>
      <c r="K7">
        <v>56.85</v>
      </c>
      <c r="L7">
        <v>54.52</v>
      </c>
    </row>
    <row r="8" spans="1:12" x14ac:dyDescent="0.25">
      <c r="A8">
        <v>7</v>
      </c>
      <c r="B8" t="s">
        <v>27</v>
      </c>
      <c r="C8">
        <v>38</v>
      </c>
      <c r="D8">
        <v>16</v>
      </c>
      <c r="E8">
        <v>8</v>
      </c>
      <c r="F8">
        <v>14</v>
      </c>
      <c r="G8">
        <v>60</v>
      </c>
      <c r="H8">
        <v>51</v>
      </c>
      <c r="I8">
        <v>56</v>
      </c>
      <c r="J8">
        <v>54.98</v>
      </c>
      <c r="K8">
        <v>53.88</v>
      </c>
      <c r="L8">
        <v>53.56</v>
      </c>
    </row>
    <row r="9" spans="1:12" x14ac:dyDescent="0.25">
      <c r="A9">
        <v>8</v>
      </c>
      <c r="B9" t="s">
        <v>25</v>
      </c>
      <c r="C9">
        <v>38</v>
      </c>
      <c r="D9">
        <v>14</v>
      </c>
      <c r="E9">
        <v>10</v>
      </c>
      <c r="F9">
        <v>14</v>
      </c>
      <c r="G9">
        <v>62</v>
      </c>
      <c r="H9">
        <v>59</v>
      </c>
      <c r="I9">
        <v>52</v>
      </c>
      <c r="J9">
        <v>49.49</v>
      </c>
      <c r="K9">
        <v>66.11</v>
      </c>
      <c r="L9">
        <v>42.31</v>
      </c>
    </row>
    <row r="10" spans="1:12" x14ac:dyDescent="0.25">
      <c r="A10">
        <v>9</v>
      </c>
      <c r="B10" t="s">
        <v>17</v>
      </c>
      <c r="C10">
        <v>38</v>
      </c>
      <c r="D10">
        <v>12</v>
      </c>
      <c r="E10">
        <v>15</v>
      </c>
      <c r="F10">
        <v>11</v>
      </c>
      <c r="G10">
        <v>42</v>
      </c>
      <c r="H10">
        <v>44</v>
      </c>
      <c r="I10">
        <v>51</v>
      </c>
      <c r="J10">
        <v>49.57</v>
      </c>
      <c r="K10">
        <v>47.21</v>
      </c>
      <c r="L10">
        <v>54.18</v>
      </c>
    </row>
    <row r="11" spans="1:12" x14ac:dyDescent="0.25">
      <c r="A11">
        <v>10</v>
      </c>
      <c r="B11" t="s">
        <v>28</v>
      </c>
      <c r="C11">
        <v>38</v>
      </c>
      <c r="D11">
        <v>15</v>
      </c>
      <c r="E11">
        <v>6</v>
      </c>
      <c r="F11">
        <v>17</v>
      </c>
      <c r="G11">
        <v>38</v>
      </c>
      <c r="H11">
        <v>43</v>
      </c>
      <c r="I11">
        <v>51</v>
      </c>
      <c r="J11">
        <v>39.04</v>
      </c>
      <c r="K11">
        <v>58.48</v>
      </c>
      <c r="L11">
        <v>40.54</v>
      </c>
    </row>
    <row r="12" spans="1:12" x14ac:dyDescent="0.25">
      <c r="A12">
        <v>11</v>
      </c>
      <c r="B12" t="s">
        <v>14</v>
      </c>
      <c r="C12">
        <v>38</v>
      </c>
      <c r="D12">
        <v>13</v>
      </c>
      <c r="E12">
        <v>10</v>
      </c>
      <c r="F12">
        <v>15</v>
      </c>
      <c r="G12">
        <v>44</v>
      </c>
      <c r="H12">
        <v>62</v>
      </c>
      <c r="I12">
        <v>49</v>
      </c>
      <c r="J12">
        <v>41.53</v>
      </c>
      <c r="K12">
        <v>62.71</v>
      </c>
      <c r="L12">
        <v>41.53</v>
      </c>
    </row>
    <row r="13" spans="1:12" x14ac:dyDescent="0.25">
      <c r="A13">
        <v>12</v>
      </c>
      <c r="B13" t="s">
        <v>23</v>
      </c>
      <c r="C13">
        <v>38</v>
      </c>
      <c r="D13">
        <v>11</v>
      </c>
      <c r="E13">
        <v>15</v>
      </c>
      <c r="F13">
        <v>12</v>
      </c>
      <c r="G13">
        <v>50</v>
      </c>
      <c r="H13">
        <v>46</v>
      </c>
      <c r="I13">
        <v>48</v>
      </c>
      <c r="J13">
        <v>48.84</v>
      </c>
      <c r="K13">
        <v>41.33</v>
      </c>
      <c r="L13">
        <v>58.15</v>
      </c>
    </row>
    <row r="14" spans="1:12" x14ac:dyDescent="0.25">
      <c r="A14">
        <v>13</v>
      </c>
      <c r="B14" t="s">
        <v>19</v>
      </c>
      <c r="C14">
        <v>38</v>
      </c>
      <c r="D14">
        <v>13</v>
      </c>
      <c r="E14">
        <v>7</v>
      </c>
      <c r="F14">
        <v>18</v>
      </c>
      <c r="G14">
        <v>48</v>
      </c>
      <c r="H14">
        <v>56</v>
      </c>
      <c r="I14">
        <v>46</v>
      </c>
      <c r="J14">
        <v>52.89</v>
      </c>
      <c r="K14">
        <v>49.5</v>
      </c>
      <c r="L14">
        <v>56</v>
      </c>
    </row>
    <row r="15" spans="1:12" x14ac:dyDescent="0.25">
      <c r="A15">
        <v>14</v>
      </c>
      <c r="B15" t="s">
        <v>22</v>
      </c>
      <c r="C15">
        <v>38</v>
      </c>
      <c r="D15">
        <v>13</v>
      </c>
      <c r="E15">
        <v>6</v>
      </c>
      <c r="F15">
        <v>19</v>
      </c>
      <c r="G15">
        <v>52</v>
      </c>
      <c r="H15">
        <v>54</v>
      </c>
      <c r="I15">
        <v>45</v>
      </c>
      <c r="J15">
        <v>43.13</v>
      </c>
      <c r="K15">
        <v>53.1</v>
      </c>
      <c r="L15">
        <v>46.2</v>
      </c>
    </row>
    <row r="16" spans="1:12" x14ac:dyDescent="0.25">
      <c r="A16">
        <v>15</v>
      </c>
      <c r="B16" t="s">
        <v>31</v>
      </c>
      <c r="C16">
        <v>38</v>
      </c>
      <c r="D16">
        <v>9</v>
      </c>
      <c r="E16">
        <v>13</v>
      </c>
      <c r="F16">
        <v>16</v>
      </c>
      <c r="G16">
        <v>43</v>
      </c>
      <c r="H16">
        <v>67</v>
      </c>
      <c r="I16">
        <v>40</v>
      </c>
      <c r="J16">
        <v>47.35</v>
      </c>
      <c r="K16">
        <v>64.56</v>
      </c>
      <c r="L16">
        <v>43.45</v>
      </c>
    </row>
    <row r="17" spans="1:12" x14ac:dyDescent="0.25">
      <c r="A17">
        <v>16</v>
      </c>
      <c r="B17" t="s">
        <v>30</v>
      </c>
      <c r="C17">
        <v>38</v>
      </c>
      <c r="D17">
        <v>11</v>
      </c>
      <c r="E17">
        <v>6</v>
      </c>
      <c r="F17">
        <v>21</v>
      </c>
      <c r="G17">
        <v>43</v>
      </c>
      <c r="H17">
        <v>66</v>
      </c>
      <c r="I17">
        <v>39</v>
      </c>
      <c r="J17">
        <v>44.47</v>
      </c>
      <c r="K17">
        <v>60.69</v>
      </c>
      <c r="L17">
        <v>43.54</v>
      </c>
    </row>
    <row r="18" spans="1:12" x14ac:dyDescent="0.25">
      <c r="A18">
        <v>17</v>
      </c>
      <c r="B18" t="s">
        <v>26</v>
      </c>
      <c r="C18">
        <v>38</v>
      </c>
      <c r="D18">
        <v>9</v>
      </c>
      <c r="E18">
        <v>11</v>
      </c>
      <c r="F18">
        <v>18</v>
      </c>
      <c r="G18">
        <v>42</v>
      </c>
      <c r="H18">
        <v>79</v>
      </c>
      <c r="I18">
        <v>38</v>
      </c>
      <c r="J18">
        <v>51.19</v>
      </c>
      <c r="K18">
        <v>71.31</v>
      </c>
      <c r="L18">
        <v>43.86</v>
      </c>
    </row>
    <row r="19" spans="1:12" x14ac:dyDescent="0.25">
      <c r="A19">
        <v>18</v>
      </c>
      <c r="B19" t="s">
        <v>32</v>
      </c>
      <c r="C19">
        <v>38</v>
      </c>
      <c r="D19">
        <v>7</v>
      </c>
      <c r="E19">
        <v>14</v>
      </c>
      <c r="F19">
        <v>17</v>
      </c>
      <c r="G19">
        <v>34</v>
      </c>
      <c r="H19">
        <v>53</v>
      </c>
      <c r="I19">
        <v>35</v>
      </c>
      <c r="J19">
        <v>41.11</v>
      </c>
      <c r="K19">
        <v>60.22</v>
      </c>
      <c r="L19">
        <v>38.1</v>
      </c>
    </row>
    <row r="20" spans="1:12" x14ac:dyDescent="0.25">
      <c r="A20">
        <v>19</v>
      </c>
      <c r="B20" t="s">
        <v>33</v>
      </c>
      <c r="C20">
        <v>38</v>
      </c>
      <c r="D20">
        <v>6</v>
      </c>
      <c r="E20">
        <v>5</v>
      </c>
      <c r="F20">
        <v>27</v>
      </c>
      <c r="G20">
        <v>34</v>
      </c>
      <c r="H20">
        <v>77</v>
      </c>
      <c r="I20">
        <v>23</v>
      </c>
      <c r="J20">
        <v>39.340000000000003</v>
      </c>
      <c r="K20">
        <v>67.53</v>
      </c>
      <c r="L20">
        <v>35.450000000000003</v>
      </c>
    </row>
    <row r="21" spans="1:12" x14ac:dyDescent="0.25">
      <c r="A21">
        <v>20</v>
      </c>
      <c r="B21" t="s">
        <v>34</v>
      </c>
      <c r="C21">
        <v>38</v>
      </c>
      <c r="D21">
        <v>5</v>
      </c>
      <c r="E21">
        <v>7</v>
      </c>
      <c r="F21">
        <v>26</v>
      </c>
      <c r="G21">
        <v>23</v>
      </c>
      <c r="H21">
        <v>84</v>
      </c>
      <c r="I21">
        <v>22</v>
      </c>
      <c r="J21">
        <v>31.51</v>
      </c>
      <c r="K21">
        <v>80.08</v>
      </c>
      <c r="L21">
        <v>25.04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E29" sqref="E29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5</v>
      </c>
      <c r="D2">
        <v>5</v>
      </c>
      <c r="E2">
        <v>0</v>
      </c>
      <c r="F2">
        <v>0</v>
      </c>
      <c r="G2">
        <v>13</v>
      </c>
      <c r="H2">
        <v>4</v>
      </c>
      <c r="I2">
        <v>15</v>
      </c>
      <c r="J2">
        <v>11.43</v>
      </c>
      <c r="K2">
        <v>3.33</v>
      </c>
      <c r="L2">
        <v>12.2</v>
      </c>
    </row>
    <row r="3" spans="1:12" x14ac:dyDescent="0.25">
      <c r="A3">
        <v>2</v>
      </c>
      <c r="B3" t="s">
        <v>13</v>
      </c>
      <c r="C3">
        <v>5</v>
      </c>
      <c r="D3">
        <v>4</v>
      </c>
      <c r="E3">
        <v>1</v>
      </c>
      <c r="F3">
        <v>0</v>
      </c>
      <c r="G3">
        <v>19</v>
      </c>
      <c r="H3">
        <v>5</v>
      </c>
      <c r="I3">
        <v>13</v>
      </c>
      <c r="J3">
        <v>14.17</v>
      </c>
      <c r="K3">
        <v>3.4</v>
      </c>
      <c r="L3">
        <v>13.45</v>
      </c>
    </row>
    <row r="4" spans="1:12" x14ac:dyDescent="0.25">
      <c r="A4">
        <v>3</v>
      </c>
      <c r="B4" t="s">
        <v>16</v>
      </c>
      <c r="C4">
        <v>5</v>
      </c>
      <c r="D4">
        <v>3</v>
      </c>
      <c r="E4">
        <v>2</v>
      </c>
      <c r="F4">
        <v>0</v>
      </c>
      <c r="G4">
        <v>10</v>
      </c>
      <c r="H4">
        <v>4</v>
      </c>
      <c r="I4">
        <v>11</v>
      </c>
      <c r="J4">
        <v>7.84</v>
      </c>
      <c r="K4">
        <v>5.24</v>
      </c>
      <c r="L4">
        <v>8.77</v>
      </c>
    </row>
    <row r="5" spans="1:12" x14ac:dyDescent="0.25">
      <c r="A5">
        <v>4</v>
      </c>
      <c r="B5" t="s">
        <v>17</v>
      </c>
      <c r="C5">
        <v>5</v>
      </c>
      <c r="D5">
        <v>3</v>
      </c>
      <c r="E5">
        <v>1</v>
      </c>
      <c r="F5">
        <v>1</v>
      </c>
      <c r="G5">
        <v>6</v>
      </c>
      <c r="H5">
        <v>3</v>
      </c>
      <c r="I5">
        <v>10</v>
      </c>
      <c r="J5">
        <v>8.5299999999999994</v>
      </c>
      <c r="K5">
        <v>4.59</v>
      </c>
      <c r="L5">
        <v>10.11</v>
      </c>
    </row>
    <row r="6" spans="1:12" x14ac:dyDescent="0.25">
      <c r="A6">
        <v>5</v>
      </c>
      <c r="B6" t="s">
        <v>15</v>
      </c>
      <c r="C6">
        <v>5</v>
      </c>
      <c r="D6">
        <v>3</v>
      </c>
      <c r="E6">
        <v>0</v>
      </c>
      <c r="F6">
        <v>2</v>
      </c>
      <c r="G6">
        <v>5</v>
      </c>
      <c r="H6">
        <v>7</v>
      </c>
      <c r="I6">
        <v>9</v>
      </c>
      <c r="J6">
        <v>6.78</v>
      </c>
      <c r="K6">
        <v>6.61</v>
      </c>
      <c r="L6">
        <v>6.95</v>
      </c>
    </row>
    <row r="7" spans="1:12" x14ac:dyDescent="0.25">
      <c r="A7">
        <v>6</v>
      </c>
      <c r="B7" t="s">
        <v>20</v>
      </c>
      <c r="C7">
        <v>5</v>
      </c>
      <c r="D7">
        <v>2</v>
      </c>
      <c r="E7">
        <v>2</v>
      </c>
      <c r="F7">
        <v>1</v>
      </c>
      <c r="G7">
        <v>15</v>
      </c>
      <c r="H7">
        <v>6</v>
      </c>
      <c r="I7">
        <v>8</v>
      </c>
      <c r="J7">
        <v>12.72</v>
      </c>
      <c r="K7">
        <v>5.76</v>
      </c>
      <c r="L7">
        <v>10.25</v>
      </c>
    </row>
    <row r="8" spans="1:12" x14ac:dyDescent="0.25">
      <c r="A8">
        <v>7</v>
      </c>
      <c r="B8" t="s">
        <v>26</v>
      </c>
      <c r="C8">
        <v>5</v>
      </c>
      <c r="D8">
        <v>2</v>
      </c>
      <c r="E8">
        <v>2</v>
      </c>
      <c r="F8">
        <v>1</v>
      </c>
      <c r="G8">
        <v>8</v>
      </c>
      <c r="H8">
        <v>5</v>
      </c>
      <c r="I8">
        <v>8</v>
      </c>
      <c r="J8">
        <v>7.29</v>
      </c>
      <c r="K8">
        <v>5.98</v>
      </c>
      <c r="L8">
        <v>7.85</v>
      </c>
    </row>
    <row r="9" spans="1:12" x14ac:dyDescent="0.25">
      <c r="A9">
        <v>8</v>
      </c>
      <c r="B9" t="s">
        <v>18</v>
      </c>
      <c r="C9">
        <v>5</v>
      </c>
      <c r="D9">
        <v>2</v>
      </c>
      <c r="E9">
        <v>2</v>
      </c>
      <c r="F9">
        <v>1</v>
      </c>
      <c r="G9">
        <v>8</v>
      </c>
      <c r="H9">
        <v>7</v>
      </c>
      <c r="I9">
        <v>8</v>
      </c>
      <c r="J9">
        <v>7.25</v>
      </c>
      <c r="K9">
        <v>9.14</v>
      </c>
      <c r="L9">
        <v>5.52</v>
      </c>
    </row>
    <row r="10" spans="1:12" x14ac:dyDescent="0.25">
      <c r="A10">
        <v>9</v>
      </c>
      <c r="B10" t="s">
        <v>31</v>
      </c>
      <c r="C10">
        <v>5</v>
      </c>
      <c r="D10">
        <v>2</v>
      </c>
      <c r="E10">
        <v>1</v>
      </c>
      <c r="F10">
        <v>2</v>
      </c>
      <c r="G10">
        <v>7</v>
      </c>
      <c r="H10">
        <v>9</v>
      </c>
      <c r="I10">
        <v>7</v>
      </c>
      <c r="J10">
        <v>5.84</v>
      </c>
      <c r="K10">
        <v>6.71</v>
      </c>
      <c r="L10">
        <v>6.24</v>
      </c>
    </row>
    <row r="11" spans="1:12" x14ac:dyDescent="0.25">
      <c r="A11">
        <v>10</v>
      </c>
      <c r="B11" t="s">
        <v>21</v>
      </c>
      <c r="C11">
        <v>5</v>
      </c>
      <c r="D11">
        <v>2</v>
      </c>
      <c r="E11">
        <v>1</v>
      </c>
      <c r="F11">
        <v>2</v>
      </c>
      <c r="G11">
        <v>6</v>
      </c>
      <c r="H11">
        <v>8</v>
      </c>
      <c r="I11">
        <v>7</v>
      </c>
      <c r="J11">
        <v>7.71</v>
      </c>
      <c r="K11">
        <v>7.74</v>
      </c>
      <c r="L11">
        <v>6.92</v>
      </c>
    </row>
    <row r="12" spans="1:12" x14ac:dyDescent="0.25">
      <c r="A12">
        <v>11</v>
      </c>
      <c r="B12" t="s">
        <v>19</v>
      </c>
      <c r="C12">
        <v>5</v>
      </c>
      <c r="D12">
        <v>1</v>
      </c>
      <c r="E12">
        <v>3</v>
      </c>
      <c r="F12">
        <v>1</v>
      </c>
      <c r="G12">
        <v>10</v>
      </c>
      <c r="H12">
        <v>7</v>
      </c>
      <c r="I12">
        <v>6</v>
      </c>
      <c r="J12">
        <v>7.81</v>
      </c>
      <c r="K12">
        <v>6.68</v>
      </c>
      <c r="L12">
        <v>8</v>
      </c>
    </row>
    <row r="13" spans="1:12" x14ac:dyDescent="0.25">
      <c r="A13">
        <v>12</v>
      </c>
      <c r="B13" t="s">
        <v>14</v>
      </c>
      <c r="C13">
        <v>5</v>
      </c>
      <c r="D13">
        <v>1</v>
      </c>
      <c r="E13">
        <v>3</v>
      </c>
      <c r="F13">
        <v>1</v>
      </c>
      <c r="G13">
        <v>7</v>
      </c>
      <c r="H13">
        <v>6</v>
      </c>
      <c r="I13">
        <v>6</v>
      </c>
      <c r="J13">
        <v>6.83</v>
      </c>
      <c r="K13">
        <v>8.41</v>
      </c>
      <c r="L13">
        <v>5.93</v>
      </c>
    </row>
    <row r="14" spans="1:12" x14ac:dyDescent="0.25">
      <c r="A14">
        <v>13</v>
      </c>
      <c r="B14" t="s">
        <v>23</v>
      </c>
      <c r="C14">
        <v>5</v>
      </c>
      <c r="D14">
        <v>1</v>
      </c>
      <c r="E14">
        <v>2</v>
      </c>
      <c r="F14">
        <v>2</v>
      </c>
      <c r="G14">
        <v>7</v>
      </c>
      <c r="H14">
        <v>9</v>
      </c>
      <c r="I14">
        <v>5</v>
      </c>
      <c r="J14">
        <v>6.63</v>
      </c>
      <c r="K14">
        <v>8.48</v>
      </c>
      <c r="L14">
        <v>5.64</v>
      </c>
    </row>
    <row r="15" spans="1:12" x14ac:dyDescent="0.25">
      <c r="A15">
        <v>14</v>
      </c>
      <c r="B15" t="s">
        <v>27</v>
      </c>
      <c r="C15">
        <v>5</v>
      </c>
      <c r="D15">
        <v>1</v>
      </c>
      <c r="E15">
        <v>1</v>
      </c>
      <c r="F15">
        <v>3</v>
      </c>
      <c r="G15">
        <v>2</v>
      </c>
      <c r="H15">
        <v>6</v>
      </c>
      <c r="I15">
        <v>4</v>
      </c>
      <c r="J15">
        <v>4.96</v>
      </c>
      <c r="K15">
        <v>7.41</v>
      </c>
      <c r="L15">
        <v>5.34</v>
      </c>
    </row>
    <row r="16" spans="1:12" x14ac:dyDescent="0.25">
      <c r="A16">
        <v>15</v>
      </c>
      <c r="B16" t="s">
        <v>24</v>
      </c>
      <c r="C16">
        <v>5</v>
      </c>
      <c r="D16">
        <v>1</v>
      </c>
      <c r="E16">
        <v>1</v>
      </c>
      <c r="F16">
        <v>3</v>
      </c>
      <c r="G16">
        <v>2</v>
      </c>
      <c r="H16">
        <v>11</v>
      </c>
      <c r="I16">
        <v>4</v>
      </c>
      <c r="J16">
        <v>4.66</v>
      </c>
      <c r="K16">
        <v>11.66</v>
      </c>
      <c r="L16">
        <v>2.95</v>
      </c>
    </row>
    <row r="17" spans="1:12" x14ac:dyDescent="0.25">
      <c r="A17">
        <v>16</v>
      </c>
      <c r="B17" t="s">
        <v>29</v>
      </c>
      <c r="C17">
        <v>5</v>
      </c>
      <c r="D17">
        <v>1</v>
      </c>
      <c r="E17">
        <v>1</v>
      </c>
      <c r="F17">
        <v>3</v>
      </c>
      <c r="G17">
        <v>2</v>
      </c>
      <c r="H17">
        <v>16</v>
      </c>
      <c r="I17">
        <v>4</v>
      </c>
      <c r="J17">
        <v>1.47</v>
      </c>
      <c r="K17">
        <v>10.28</v>
      </c>
      <c r="L17">
        <v>2.29</v>
      </c>
    </row>
    <row r="18" spans="1:12" x14ac:dyDescent="0.25">
      <c r="A18">
        <v>17</v>
      </c>
      <c r="B18" t="s">
        <v>30</v>
      </c>
      <c r="C18">
        <v>5</v>
      </c>
      <c r="D18">
        <v>0</v>
      </c>
      <c r="E18">
        <v>3</v>
      </c>
      <c r="F18">
        <v>2</v>
      </c>
      <c r="G18">
        <v>4</v>
      </c>
      <c r="H18">
        <v>6</v>
      </c>
      <c r="I18">
        <v>3</v>
      </c>
      <c r="J18">
        <v>6.18</v>
      </c>
      <c r="K18">
        <v>8.84</v>
      </c>
      <c r="L18">
        <v>4.99</v>
      </c>
    </row>
    <row r="19" spans="1:12" x14ac:dyDescent="0.25">
      <c r="A19">
        <v>18</v>
      </c>
      <c r="B19" t="s">
        <v>28</v>
      </c>
      <c r="C19">
        <v>5</v>
      </c>
      <c r="D19">
        <v>0</v>
      </c>
      <c r="E19">
        <v>3</v>
      </c>
      <c r="F19">
        <v>2</v>
      </c>
      <c r="G19">
        <v>2</v>
      </c>
      <c r="H19">
        <v>4</v>
      </c>
      <c r="I19">
        <v>3</v>
      </c>
      <c r="J19">
        <v>5.43</v>
      </c>
      <c r="K19">
        <v>5.74</v>
      </c>
      <c r="L19">
        <v>6.55</v>
      </c>
    </row>
    <row r="20" spans="1:12" x14ac:dyDescent="0.25">
      <c r="A20">
        <v>19</v>
      </c>
      <c r="B20" t="s">
        <v>22</v>
      </c>
      <c r="C20">
        <v>5</v>
      </c>
      <c r="D20">
        <v>1</v>
      </c>
      <c r="E20">
        <v>0</v>
      </c>
      <c r="F20">
        <v>4</v>
      </c>
      <c r="G20">
        <v>4</v>
      </c>
      <c r="H20">
        <v>9</v>
      </c>
      <c r="I20">
        <v>3</v>
      </c>
      <c r="J20">
        <v>4.5599999999999996</v>
      </c>
      <c r="K20">
        <v>8.01</v>
      </c>
      <c r="L20">
        <v>4.9400000000000004</v>
      </c>
    </row>
    <row r="21" spans="1:12" x14ac:dyDescent="0.25">
      <c r="A21">
        <v>20</v>
      </c>
      <c r="B21" t="s">
        <v>25</v>
      </c>
      <c r="C21">
        <v>5</v>
      </c>
      <c r="D21">
        <v>0</v>
      </c>
      <c r="E21">
        <v>1</v>
      </c>
      <c r="F21">
        <v>4</v>
      </c>
      <c r="G21">
        <v>6</v>
      </c>
      <c r="H21">
        <v>11</v>
      </c>
      <c r="I21">
        <v>1</v>
      </c>
      <c r="J21">
        <v>3.96</v>
      </c>
      <c r="K21">
        <v>8.0299999999999994</v>
      </c>
      <c r="L21">
        <v>3.78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L17" sqref="L17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10</v>
      </c>
      <c r="D2">
        <v>9</v>
      </c>
      <c r="E2">
        <v>0</v>
      </c>
      <c r="F2">
        <v>1</v>
      </c>
      <c r="G2">
        <v>24</v>
      </c>
      <c r="H2">
        <v>10</v>
      </c>
      <c r="I2">
        <v>27</v>
      </c>
      <c r="J2">
        <v>20.3</v>
      </c>
      <c r="K2">
        <v>10.19</v>
      </c>
      <c r="L2">
        <v>20.55</v>
      </c>
    </row>
    <row r="3" spans="1:12" x14ac:dyDescent="0.25">
      <c r="A3">
        <v>2</v>
      </c>
      <c r="B3" t="s">
        <v>13</v>
      </c>
      <c r="C3">
        <v>10</v>
      </c>
      <c r="D3">
        <v>7</v>
      </c>
      <c r="E3">
        <v>2</v>
      </c>
      <c r="F3">
        <v>1</v>
      </c>
      <c r="G3">
        <v>33</v>
      </c>
      <c r="H3">
        <v>10</v>
      </c>
      <c r="I3">
        <v>23</v>
      </c>
      <c r="J3">
        <v>24.18</v>
      </c>
      <c r="K3">
        <v>7.81</v>
      </c>
      <c r="L3">
        <v>24.2</v>
      </c>
    </row>
    <row r="4" spans="1:12" x14ac:dyDescent="0.25">
      <c r="A4">
        <v>3</v>
      </c>
      <c r="B4" t="s">
        <v>16</v>
      </c>
      <c r="C4">
        <v>10</v>
      </c>
      <c r="D4">
        <v>7</v>
      </c>
      <c r="E4">
        <v>2</v>
      </c>
      <c r="F4">
        <v>1</v>
      </c>
      <c r="G4">
        <v>22</v>
      </c>
      <c r="H4">
        <v>10</v>
      </c>
      <c r="I4">
        <v>23</v>
      </c>
      <c r="J4">
        <v>17.27</v>
      </c>
      <c r="K4">
        <v>11.16</v>
      </c>
      <c r="L4">
        <v>17.77</v>
      </c>
    </row>
    <row r="5" spans="1:12" x14ac:dyDescent="0.25">
      <c r="A5">
        <v>4</v>
      </c>
      <c r="B5" t="s">
        <v>21</v>
      </c>
      <c r="C5">
        <v>10</v>
      </c>
      <c r="D5">
        <v>6</v>
      </c>
      <c r="E5">
        <v>2</v>
      </c>
      <c r="F5">
        <v>2</v>
      </c>
      <c r="G5">
        <v>15</v>
      </c>
      <c r="H5">
        <v>10</v>
      </c>
      <c r="I5">
        <v>20</v>
      </c>
      <c r="J5">
        <v>13.9</v>
      </c>
      <c r="K5">
        <v>14.52</v>
      </c>
      <c r="L5">
        <v>12.99</v>
      </c>
    </row>
    <row r="6" spans="1:12" x14ac:dyDescent="0.25">
      <c r="A6">
        <v>5</v>
      </c>
      <c r="B6" t="s">
        <v>15</v>
      </c>
      <c r="C6">
        <v>10</v>
      </c>
      <c r="D6">
        <v>6</v>
      </c>
      <c r="E6">
        <v>1</v>
      </c>
      <c r="F6">
        <v>3</v>
      </c>
      <c r="G6">
        <v>15</v>
      </c>
      <c r="H6">
        <v>15</v>
      </c>
      <c r="I6">
        <v>19</v>
      </c>
      <c r="J6">
        <v>15.47</v>
      </c>
      <c r="K6">
        <v>12.86</v>
      </c>
      <c r="L6">
        <v>15.96</v>
      </c>
    </row>
    <row r="7" spans="1:12" x14ac:dyDescent="0.25">
      <c r="A7">
        <v>6</v>
      </c>
      <c r="B7" t="s">
        <v>14</v>
      </c>
      <c r="C7">
        <v>10</v>
      </c>
      <c r="D7">
        <v>3</v>
      </c>
      <c r="E7">
        <v>6</v>
      </c>
      <c r="F7">
        <v>1</v>
      </c>
      <c r="G7">
        <v>17</v>
      </c>
      <c r="H7">
        <v>9</v>
      </c>
      <c r="I7">
        <v>15</v>
      </c>
      <c r="J7">
        <v>19.190000000000001</v>
      </c>
      <c r="K7">
        <v>13.54</v>
      </c>
      <c r="L7">
        <v>16.52</v>
      </c>
    </row>
    <row r="8" spans="1:12" x14ac:dyDescent="0.25">
      <c r="A8">
        <v>7</v>
      </c>
      <c r="B8" t="s">
        <v>17</v>
      </c>
      <c r="C8">
        <v>10</v>
      </c>
      <c r="D8">
        <v>4</v>
      </c>
      <c r="E8">
        <v>3</v>
      </c>
      <c r="F8">
        <v>3</v>
      </c>
      <c r="G8">
        <v>14</v>
      </c>
      <c r="H8">
        <v>11</v>
      </c>
      <c r="I8">
        <v>15</v>
      </c>
      <c r="J8">
        <v>18.78</v>
      </c>
      <c r="K8">
        <v>10.68</v>
      </c>
      <c r="L8">
        <v>19.809999999999999</v>
      </c>
    </row>
    <row r="9" spans="1:12" x14ac:dyDescent="0.25">
      <c r="A9">
        <v>8</v>
      </c>
      <c r="B9" t="s">
        <v>20</v>
      </c>
      <c r="C9">
        <v>10</v>
      </c>
      <c r="D9">
        <v>4</v>
      </c>
      <c r="E9">
        <v>4</v>
      </c>
      <c r="F9">
        <v>2</v>
      </c>
      <c r="G9">
        <v>22</v>
      </c>
      <c r="H9">
        <v>12</v>
      </c>
      <c r="I9">
        <v>16</v>
      </c>
      <c r="J9">
        <v>21.26</v>
      </c>
      <c r="K9">
        <v>15.73</v>
      </c>
      <c r="L9">
        <v>16.309999999999999</v>
      </c>
    </row>
    <row r="10" spans="1:12" x14ac:dyDescent="0.25">
      <c r="A10">
        <v>9</v>
      </c>
      <c r="B10" t="s">
        <v>19</v>
      </c>
      <c r="C10">
        <v>10</v>
      </c>
      <c r="D10">
        <v>3</v>
      </c>
      <c r="E10">
        <v>4</v>
      </c>
      <c r="F10">
        <v>3</v>
      </c>
      <c r="G10">
        <v>18</v>
      </c>
      <c r="H10">
        <v>17</v>
      </c>
      <c r="I10">
        <v>13</v>
      </c>
      <c r="J10">
        <v>15.19</v>
      </c>
      <c r="K10">
        <v>15.16</v>
      </c>
      <c r="L10">
        <v>13.97</v>
      </c>
    </row>
    <row r="11" spans="1:12" x14ac:dyDescent="0.25">
      <c r="A11">
        <v>10</v>
      </c>
      <c r="B11" t="s">
        <v>29</v>
      </c>
      <c r="C11">
        <v>10</v>
      </c>
      <c r="D11">
        <v>3</v>
      </c>
      <c r="E11">
        <v>4</v>
      </c>
      <c r="F11">
        <v>3</v>
      </c>
      <c r="G11">
        <v>10</v>
      </c>
      <c r="H11">
        <v>22</v>
      </c>
      <c r="I11">
        <v>13</v>
      </c>
      <c r="J11">
        <v>6.88</v>
      </c>
      <c r="K11">
        <v>17</v>
      </c>
      <c r="L11">
        <v>7.79</v>
      </c>
    </row>
    <row r="12" spans="1:12" x14ac:dyDescent="0.25">
      <c r="A12">
        <v>11</v>
      </c>
      <c r="B12" t="s">
        <v>18</v>
      </c>
      <c r="C12">
        <v>10</v>
      </c>
      <c r="D12">
        <v>3</v>
      </c>
      <c r="E12">
        <v>3</v>
      </c>
      <c r="F12">
        <v>4</v>
      </c>
      <c r="G12">
        <v>16</v>
      </c>
      <c r="H12">
        <v>20</v>
      </c>
      <c r="I12">
        <v>12</v>
      </c>
      <c r="J12">
        <v>11.83</v>
      </c>
      <c r="K12">
        <v>22.97</v>
      </c>
      <c r="L12">
        <v>8.3699999999999992</v>
      </c>
    </row>
    <row r="13" spans="1:12" x14ac:dyDescent="0.25">
      <c r="A13">
        <v>12</v>
      </c>
      <c r="B13" t="s">
        <v>27</v>
      </c>
      <c r="C13">
        <v>10</v>
      </c>
      <c r="D13">
        <v>3</v>
      </c>
      <c r="E13">
        <v>2</v>
      </c>
      <c r="F13">
        <v>5</v>
      </c>
      <c r="G13">
        <v>9</v>
      </c>
      <c r="H13">
        <v>11</v>
      </c>
      <c r="I13">
        <v>11</v>
      </c>
      <c r="J13">
        <v>13.22</v>
      </c>
      <c r="K13">
        <v>10.17</v>
      </c>
      <c r="L13">
        <v>15.92</v>
      </c>
    </row>
    <row r="14" spans="1:12" x14ac:dyDescent="0.25">
      <c r="A14">
        <v>13</v>
      </c>
      <c r="B14" t="s">
        <v>23</v>
      </c>
      <c r="C14">
        <v>10</v>
      </c>
      <c r="D14">
        <v>3</v>
      </c>
      <c r="E14">
        <v>4</v>
      </c>
      <c r="F14">
        <v>3</v>
      </c>
      <c r="G14">
        <v>12</v>
      </c>
      <c r="H14">
        <v>13</v>
      </c>
      <c r="I14">
        <v>13</v>
      </c>
      <c r="J14">
        <v>11.52</v>
      </c>
      <c r="K14">
        <v>15.54</v>
      </c>
      <c r="L14">
        <v>11.03</v>
      </c>
    </row>
    <row r="15" spans="1:12" x14ac:dyDescent="0.25">
      <c r="A15">
        <v>14</v>
      </c>
      <c r="B15" t="s">
        <v>30</v>
      </c>
      <c r="C15">
        <v>10</v>
      </c>
      <c r="D15">
        <v>2</v>
      </c>
      <c r="E15">
        <v>4</v>
      </c>
      <c r="F15">
        <v>4</v>
      </c>
      <c r="G15">
        <v>8</v>
      </c>
      <c r="H15">
        <v>11</v>
      </c>
      <c r="I15">
        <v>10</v>
      </c>
      <c r="J15">
        <v>10.89</v>
      </c>
      <c r="K15">
        <v>17.16</v>
      </c>
      <c r="L15">
        <v>9.35</v>
      </c>
    </row>
    <row r="16" spans="1:12" x14ac:dyDescent="0.25">
      <c r="A16">
        <v>15</v>
      </c>
      <c r="B16" t="s">
        <v>26</v>
      </c>
      <c r="C16">
        <v>10</v>
      </c>
      <c r="D16">
        <v>2</v>
      </c>
      <c r="E16">
        <v>3</v>
      </c>
      <c r="F16">
        <v>5</v>
      </c>
      <c r="G16">
        <v>11</v>
      </c>
      <c r="H16">
        <v>15</v>
      </c>
      <c r="I16">
        <v>9</v>
      </c>
      <c r="J16">
        <v>13.67</v>
      </c>
      <c r="K16">
        <v>13.76</v>
      </c>
      <c r="L16">
        <v>13.83</v>
      </c>
    </row>
    <row r="17" spans="1:12" x14ac:dyDescent="0.25">
      <c r="A17">
        <v>16</v>
      </c>
      <c r="B17" t="s">
        <v>22</v>
      </c>
      <c r="C17">
        <v>10</v>
      </c>
      <c r="D17">
        <v>2</v>
      </c>
      <c r="E17">
        <v>3</v>
      </c>
      <c r="F17">
        <v>5</v>
      </c>
      <c r="G17">
        <v>7</v>
      </c>
      <c r="H17">
        <v>13</v>
      </c>
      <c r="I17">
        <v>9</v>
      </c>
      <c r="J17">
        <v>11.18</v>
      </c>
      <c r="K17">
        <v>11.91</v>
      </c>
      <c r="L17">
        <v>14.22</v>
      </c>
    </row>
    <row r="18" spans="1:12" x14ac:dyDescent="0.25">
      <c r="A18">
        <v>17</v>
      </c>
      <c r="B18" t="s">
        <v>28</v>
      </c>
      <c r="C18">
        <v>10</v>
      </c>
      <c r="D18">
        <v>2</v>
      </c>
      <c r="E18">
        <v>3</v>
      </c>
      <c r="F18">
        <v>5</v>
      </c>
      <c r="G18">
        <v>4</v>
      </c>
      <c r="H18">
        <v>12</v>
      </c>
      <c r="I18">
        <v>9</v>
      </c>
      <c r="J18">
        <v>9.39</v>
      </c>
      <c r="K18">
        <v>13.09</v>
      </c>
      <c r="L18">
        <v>10.83</v>
      </c>
    </row>
    <row r="19" spans="1:12" x14ac:dyDescent="0.25">
      <c r="A19">
        <v>18</v>
      </c>
      <c r="B19" t="s">
        <v>31</v>
      </c>
      <c r="C19">
        <v>10</v>
      </c>
      <c r="D19">
        <v>2</v>
      </c>
      <c r="E19">
        <v>2</v>
      </c>
      <c r="F19">
        <v>6</v>
      </c>
      <c r="G19">
        <v>9</v>
      </c>
      <c r="H19">
        <v>18</v>
      </c>
      <c r="I19">
        <v>8</v>
      </c>
      <c r="J19">
        <v>9.85</v>
      </c>
      <c r="K19">
        <v>15.59</v>
      </c>
      <c r="L19">
        <v>9.86</v>
      </c>
    </row>
    <row r="20" spans="1:12" x14ac:dyDescent="0.25">
      <c r="A20">
        <v>19</v>
      </c>
      <c r="B20" t="s">
        <v>25</v>
      </c>
      <c r="C20">
        <v>10</v>
      </c>
      <c r="D20">
        <v>1</v>
      </c>
      <c r="E20">
        <v>2</v>
      </c>
      <c r="F20">
        <v>7</v>
      </c>
      <c r="G20">
        <v>15</v>
      </c>
      <c r="H20">
        <v>24</v>
      </c>
      <c r="I20">
        <v>5</v>
      </c>
      <c r="J20">
        <v>10.029999999999999</v>
      </c>
      <c r="K20">
        <v>15.47</v>
      </c>
      <c r="L20">
        <v>9.94</v>
      </c>
    </row>
    <row r="21" spans="1:12" x14ac:dyDescent="0.25">
      <c r="A21">
        <v>20</v>
      </c>
      <c r="B21" t="s">
        <v>24</v>
      </c>
      <c r="C21">
        <v>10</v>
      </c>
      <c r="D21">
        <v>1</v>
      </c>
      <c r="E21">
        <v>2</v>
      </c>
      <c r="F21">
        <v>7</v>
      </c>
      <c r="G21">
        <v>7</v>
      </c>
      <c r="H21">
        <v>23</v>
      </c>
      <c r="I21">
        <v>5</v>
      </c>
      <c r="J21">
        <v>10.09</v>
      </c>
      <c r="K21">
        <v>17.05</v>
      </c>
      <c r="L21">
        <v>9.6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I24" sqref="I24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13</v>
      </c>
      <c r="E2">
        <v>1</v>
      </c>
      <c r="F2">
        <v>1</v>
      </c>
      <c r="G2">
        <v>36</v>
      </c>
      <c r="H2">
        <v>12</v>
      </c>
      <c r="I2">
        <v>40</v>
      </c>
      <c r="J2">
        <v>31.43</v>
      </c>
      <c r="K2">
        <v>12.84</v>
      </c>
      <c r="L2">
        <v>33.119999999999997</v>
      </c>
    </row>
    <row r="3" spans="1:12" x14ac:dyDescent="0.25">
      <c r="A3">
        <v>2</v>
      </c>
      <c r="B3" t="s">
        <v>13</v>
      </c>
      <c r="C3">
        <v>15</v>
      </c>
      <c r="D3">
        <v>11</v>
      </c>
      <c r="E3">
        <v>2</v>
      </c>
      <c r="F3">
        <v>2</v>
      </c>
      <c r="G3">
        <v>43</v>
      </c>
      <c r="H3">
        <v>15</v>
      </c>
      <c r="I3">
        <v>35</v>
      </c>
      <c r="J3">
        <v>34.909999999999997</v>
      </c>
      <c r="K3">
        <v>13.77</v>
      </c>
      <c r="L3">
        <v>33.840000000000003</v>
      </c>
    </row>
    <row r="4" spans="1:12" x14ac:dyDescent="0.25">
      <c r="A4">
        <v>3</v>
      </c>
      <c r="B4" t="s">
        <v>14</v>
      </c>
      <c r="C4">
        <v>15</v>
      </c>
      <c r="D4">
        <v>8</v>
      </c>
      <c r="E4">
        <v>6</v>
      </c>
      <c r="F4">
        <v>1</v>
      </c>
      <c r="G4">
        <v>29</v>
      </c>
      <c r="H4">
        <v>11</v>
      </c>
      <c r="I4">
        <v>30</v>
      </c>
      <c r="J4">
        <v>28.43</v>
      </c>
      <c r="K4">
        <v>17.45</v>
      </c>
      <c r="L4">
        <v>26.32</v>
      </c>
    </row>
    <row r="5" spans="1:12" x14ac:dyDescent="0.25">
      <c r="A5">
        <v>4</v>
      </c>
      <c r="B5" t="s">
        <v>16</v>
      </c>
      <c r="C5">
        <v>15</v>
      </c>
      <c r="D5">
        <v>9</v>
      </c>
      <c r="E5">
        <v>2</v>
      </c>
      <c r="F5">
        <v>4</v>
      </c>
      <c r="G5">
        <v>31</v>
      </c>
      <c r="H5">
        <v>21</v>
      </c>
      <c r="I5">
        <v>29</v>
      </c>
      <c r="J5">
        <v>26.09</v>
      </c>
      <c r="K5">
        <v>18.07</v>
      </c>
      <c r="L5">
        <v>25.89</v>
      </c>
    </row>
    <row r="6" spans="1:12" x14ac:dyDescent="0.25">
      <c r="A6">
        <v>5</v>
      </c>
      <c r="B6" t="s">
        <v>15</v>
      </c>
      <c r="C6">
        <v>15</v>
      </c>
      <c r="D6">
        <v>9</v>
      </c>
      <c r="E6">
        <v>2</v>
      </c>
      <c r="F6">
        <v>4</v>
      </c>
      <c r="G6">
        <v>23</v>
      </c>
      <c r="H6">
        <v>20</v>
      </c>
      <c r="I6">
        <v>29</v>
      </c>
      <c r="J6">
        <v>23.99</v>
      </c>
      <c r="K6">
        <v>17.82</v>
      </c>
      <c r="L6">
        <v>24.98</v>
      </c>
    </row>
    <row r="7" spans="1:12" x14ac:dyDescent="0.25">
      <c r="A7">
        <v>6</v>
      </c>
      <c r="B7" t="s">
        <v>20</v>
      </c>
      <c r="C7">
        <v>15</v>
      </c>
      <c r="D7">
        <v>7</v>
      </c>
      <c r="E7">
        <v>4</v>
      </c>
      <c r="F7">
        <v>4</v>
      </c>
      <c r="G7">
        <v>31</v>
      </c>
      <c r="H7">
        <v>18</v>
      </c>
      <c r="I7">
        <v>25</v>
      </c>
      <c r="J7">
        <v>33.090000000000003</v>
      </c>
      <c r="K7">
        <v>24.79</v>
      </c>
      <c r="L7">
        <v>24.9</v>
      </c>
    </row>
    <row r="8" spans="1:12" x14ac:dyDescent="0.25">
      <c r="A8">
        <v>7</v>
      </c>
      <c r="B8" t="s">
        <v>17</v>
      </c>
      <c r="C8">
        <v>15</v>
      </c>
      <c r="D8">
        <v>7</v>
      </c>
      <c r="E8">
        <v>3</v>
      </c>
      <c r="F8">
        <v>5</v>
      </c>
      <c r="G8">
        <v>26</v>
      </c>
      <c r="H8">
        <v>20</v>
      </c>
      <c r="I8">
        <v>24</v>
      </c>
      <c r="J8">
        <v>25.9</v>
      </c>
      <c r="K8">
        <v>17.78</v>
      </c>
      <c r="L8">
        <v>26.26</v>
      </c>
    </row>
    <row r="9" spans="1:12" x14ac:dyDescent="0.25">
      <c r="A9">
        <v>8</v>
      </c>
      <c r="B9" t="s">
        <v>21</v>
      </c>
      <c r="C9">
        <v>15</v>
      </c>
      <c r="D9">
        <v>7</v>
      </c>
      <c r="E9">
        <v>3</v>
      </c>
      <c r="F9">
        <v>5</v>
      </c>
      <c r="G9">
        <v>19</v>
      </c>
      <c r="H9">
        <v>17</v>
      </c>
      <c r="I9">
        <v>24</v>
      </c>
      <c r="J9">
        <v>18.73</v>
      </c>
      <c r="K9">
        <v>22.31</v>
      </c>
      <c r="L9">
        <v>18.21</v>
      </c>
    </row>
    <row r="10" spans="1:12" x14ac:dyDescent="0.25">
      <c r="A10">
        <v>9</v>
      </c>
      <c r="B10" t="s">
        <v>18</v>
      </c>
      <c r="C10">
        <v>15</v>
      </c>
      <c r="D10">
        <v>5</v>
      </c>
      <c r="E10">
        <v>4</v>
      </c>
      <c r="F10">
        <v>6</v>
      </c>
      <c r="G10">
        <v>24</v>
      </c>
      <c r="H10">
        <v>26</v>
      </c>
      <c r="I10">
        <v>19</v>
      </c>
      <c r="J10">
        <v>21.51</v>
      </c>
      <c r="K10">
        <v>32.61</v>
      </c>
      <c r="L10">
        <v>15.32</v>
      </c>
    </row>
    <row r="11" spans="1:12" x14ac:dyDescent="0.25">
      <c r="A11">
        <v>10</v>
      </c>
      <c r="B11" t="s">
        <v>19</v>
      </c>
      <c r="C11">
        <v>15</v>
      </c>
      <c r="D11">
        <v>4</v>
      </c>
      <c r="E11">
        <v>7</v>
      </c>
      <c r="F11">
        <v>4</v>
      </c>
      <c r="G11">
        <v>23</v>
      </c>
      <c r="H11">
        <v>25</v>
      </c>
      <c r="I11">
        <v>19</v>
      </c>
      <c r="J11">
        <v>23.45</v>
      </c>
      <c r="K11">
        <v>22.63</v>
      </c>
      <c r="L11">
        <v>22.09</v>
      </c>
    </row>
    <row r="12" spans="1:12" x14ac:dyDescent="0.25">
      <c r="A12">
        <v>11</v>
      </c>
      <c r="B12" t="s">
        <v>23</v>
      </c>
      <c r="C12">
        <v>15</v>
      </c>
      <c r="D12">
        <v>5</v>
      </c>
      <c r="E12">
        <v>4</v>
      </c>
      <c r="F12">
        <v>6</v>
      </c>
      <c r="G12">
        <v>15</v>
      </c>
      <c r="H12">
        <v>21</v>
      </c>
      <c r="I12">
        <v>19</v>
      </c>
      <c r="J12">
        <v>15.72</v>
      </c>
      <c r="K12">
        <v>22.96</v>
      </c>
      <c r="L12">
        <v>16.02</v>
      </c>
    </row>
    <row r="13" spans="1:12" x14ac:dyDescent="0.25">
      <c r="A13">
        <v>12</v>
      </c>
      <c r="B13" t="s">
        <v>22</v>
      </c>
      <c r="C13">
        <v>15</v>
      </c>
      <c r="D13">
        <v>5</v>
      </c>
      <c r="E13">
        <v>3</v>
      </c>
      <c r="F13">
        <v>7</v>
      </c>
      <c r="G13">
        <v>16</v>
      </c>
      <c r="H13">
        <v>22</v>
      </c>
      <c r="I13">
        <v>18</v>
      </c>
      <c r="J13">
        <v>17.350000000000001</v>
      </c>
      <c r="K13">
        <v>21.34</v>
      </c>
      <c r="L13">
        <v>20.239999999999998</v>
      </c>
    </row>
    <row r="14" spans="1:12" x14ac:dyDescent="0.25">
      <c r="A14">
        <v>13</v>
      </c>
      <c r="B14" t="s">
        <v>25</v>
      </c>
      <c r="C14">
        <v>15</v>
      </c>
      <c r="D14">
        <v>5</v>
      </c>
      <c r="E14">
        <v>2</v>
      </c>
      <c r="F14">
        <v>8</v>
      </c>
      <c r="G14">
        <v>25</v>
      </c>
      <c r="H14">
        <v>25</v>
      </c>
      <c r="I14">
        <v>17</v>
      </c>
      <c r="J14">
        <v>16.239999999999998</v>
      </c>
      <c r="K14">
        <v>21.08</v>
      </c>
      <c r="L14">
        <v>17.14</v>
      </c>
    </row>
    <row r="15" spans="1:12" x14ac:dyDescent="0.25">
      <c r="A15">
        <v>14</v>
      </c>
      <c r="B15" t="s">
        <v>29</v>
      </c>
      <c r="C15">
        <v>15</v>
      </c>
      <c r="D15">
        <v>4</v>
      </c>
      <c r="E15">
        <v>4</v>
      </c>
      <c r="F15">
        <v>7</v>
      </c>
      <c r="G15">
        <v>18</v>
      </c>
      <c r="H15">
        <v>32</v>
      </c>
      <c r="I15">
        <v>16</v>
      </c>
      <c r="J15">
        <v>13.32</v>
      </c>
      <c r="K15">
        <v>25.41</v>
      </c>
      <c r="L15">
        <v>13.09</v>
      </c>
    </row>
    <row r="16" spans="1:12" x14ac:dyDescent="0.25">
      <c r="A16">
        <v>15</v>
      </c>
      <c r="B16" t="s">
        <v>26</v>
      </c>
      <c r="C16">
        <v>15</v>
      </c>
      <c r="D16">
        <v>4</v>
      </c>
      <c r="E16">
        <v>3</v>
      </c>
      <c r="F16">
        <v>8</v>
      </c>
      <c r="G16">
        <v>23</v>
      </c>
      <c r="H16">
        <v>29</v>
      </c>
      <c r="I16">
        <v>15</v>
      </c>
      <c r="J16">
        <v>21.79</v>
      </c>
      <c r="K16">
        <v>26.44</v>
      </c>
      <c r="L16">
        <v>18.84</v>
      </c>
    </row>
    <row r="17" spans="1:12" x14ac:dyDescent="0.25">
      <c r="A17">
        <v>16</v>
      </c>
      <c r="B17" t="s">
        <v>27</v>
      </c>
      <c r="C17">
        <v>15</v>
      </c>
      <c r="D17">
        <v>4</v>
      </c>
      <c r="E17">
        <v>2</v>
      </c>
      <c r="F17">
        <v>9</v>
      </c>
      <c r="G17">
        <v>12</v>
      </c>
      <c r="H17">
        <v>17</v>
      </c>
      <c r="I17">
        <v>14</v>
      </c>
      <c r="J17">
        <v>19.59</v>
      </c>
      <c r="K17">
        <v>17.53</v>
      </c>
      <c r="L17">
        <v>21.75</v>
      </c>
    </row>
    <row r="18" spans="1:12" x14ac:dyDescent="0.25">
      <c r="A18">
        <v>17</v>
      </c>
      <c r="B18" t="s">
        <v>30</v>
      </c>
      <c r="C18">
        <v>15</v>
      </c>
      <c r="D18">
        <v>3</v>
      </c>
      <c r="E18">
        <v>5</v>
      </c>
      <c r="F18">
        <v>7</v>
      </c>
      <c r="G18">
        <v>11</v>
      </c>
      <c r="H18">
        <v>17</v>
      </c>
      <c r="I18">
        <v>14</v>
      </c>
      <c r="J18">
        <v>16.22</v>
      </c>
      <c r="K18">
        <v>25.38</v>
      </c>
      <c r="L18">
        <v>14.26</v>
      </c>
    </row>
    <row r="19" spans="1:12" x14ac:dyDescent="0.25">
      <c r="A19">
        <v>18</v>
      </c>
      <c r="B19" t="s">
        <v>24</v>
      </c>
      <c r="C19">
        <v>15</v>
      </c>
      <c r="D19">
        <v>3</v>
      </c>
      <c r="E19">
        <v>4</v>
      </c>
      <c r="F19">
        <v>8</v>
      </c>
      <c r="G19">
        <v>11</v>
      </c>
      <c r="H19">
        <v>30</v>
      </c>
      <c r="I19">
        <v>13</v>
      </c>
      <c r="J19">
        <v>15.53</v>
      </c>
      <c r="K19">
        <v>26.72</v>
      </c>
      <c r="L19">
        <v>14.17</v>
      </c>
    </row>
    <row r="20" spans="1:12" x14ac:dyDescent="0.25">
      <c r="A20">
        <v>19</v>
      </c>
      <c r="B20" t="s">
        <v>31</v>
      </c>
      <c r="C20">
        <v>15</v>
      </c>
      <c r="D20">
        <v>3</v>
      </c>
      <c r="E20">
        <v>3</v>
      </c>
      <c r="F20">
        <v>9</v>
      </c>
      <c r="G20">
        <v>13</v>
      </c>
      <c r="H20">
        <v>27</v>
      </c>
      <c r="I20">
        <v>12</v>
      </c>
      <c r="J20">
        <v>16.149999999999999</v>
      </c>
      <c r="K20">
        <v>23.15</v>
      </c>
      <c r="L20">
        <v>15.97</v>
      </c>
    </row>
    <row r="21" spans="1:12" x14ac:dyDescent="0.25">
      <c r="A21">
        <v>20</v>
      </c>
      <c r="B21" t="s">
        <v>28</v>
      </c>
      <c r="C21">
        <v>15</v>
      </c>
      <c r="D21">
        <v>2</v>
      </c>
      <c r="E21">
        <v>4</v>
      </c>
      <c r="F21">
        <v>9</v>
      </c>
      <c r="G21">
        <v>8</v>
      </c>
      <c r="H21">
        <v>24</v>
      </c>
      <c r="I21">
        <v>10</v>
      </c>
      <c r="J21">
        <v>14.23</v>
      </c>
      <c r="K21">
        <v>20.78</v>
      </c>
      <c r="L21">
        <v>15.49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M8" sqref="M8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16</v>
      </c>
      <c r="E2">
        <v>2</v>
      </c>
      <c r="F2">
        <v>2</v>
      </c>
      <c r="G2">
        <v>45</v>
      </c>
      <c r="H2">
        <v>17</v>
      </c>
      <c r="I2">
        <v>50</v>
      </c>
      <c r="J2">
        <v>41.26</v>
      </c>
      <c r="K2">
        <v>19.03</v>
      </c>
      <c r="L2">
        <v>41.92</v>
      </c>
    </row>
    <row r="3" spans="1:12" x14ac:dyDescent="0.25">
      <c r="A3">
        <v>2</v>
      </c>
      <c r="B3" t="s">
        <v>13</v>
      </c>
      <c r="C3">
        <v>20</v>
      </c>
      <c r="D3">
        <v>14</v>
      </c>
      <c r="E3">
        <v>3</v>
      </c>
      <c r="F3">
        <v>3</v>
      </c>
      <c r="G3">
        <v>53</v>
      </c>
      <c r="H3">
        <v>20</v>
      </c>
      <c r="I3">
        <v>45</v>
      </c>
      <c r="J3">
        <v>45.39</v>
      </c>
      <c r="K3">
        <v>17.95</v>
      </c>
      <c r="L3">
        <v>44.63</v>
      </c>
    </row>
    <row r="4" spans="1:12" x14ac:dyDescent="0.25">
      <c r="A4">
        <v>3</v>
      </c>
      <c r="B4" t="s">
        <v>14</v>
      </c>
      <c r="C4">
        <v>20</v>
      </c>
      <c r="D4">
        <v>10</v>
      </c>
      <c r="E4">
        <v>9</v>
      </c>
      <c r="F4">
        <v>1</v>
      </c>
      <c r="G4">
        <v>33</v>
      </c>
      <c r="H4">
        <v>11</v>
      </c>
      <c r="I4">
        <v>39</v>
      </c>
      <c r="J4">
        <v>37.340000000000003</v>
      </c>
      <c r="K4">
        <v>20.57</v>
      </c>
      <c r="L4">
        <v>37.44</v>
      </c>
    </row>
    <row r="5" spans="1:12" x14ac:dyDescent="0.25">
      <c r="A5">
        <v>4</v>
      </c>
      <c r="B5" t="s">
        <v>15</v>
      </c>
      <c r="C5">
        <v>20</v>
      </c>
      <c r="D5">
        <v>12</v>
      </c>
      <c r="E5">
        <v>3</v>
      </c>
      <c r="F5">
        <v>5</v>
      </c>
      <c r="G5">
        <v>32</v>
      </c>
      <c r="H5">
        <v>25</v>
      </c>
      <c r="I5">
        <v>39</v>
      </c>
      <c r="J5">
        <v>33.06</v>
      </c>
      <c r="K5">
        <v>23.14</v>
      </c>
      <c r="L5">
        <v>35.020000000000003</v>
      </c>
    </row>
    <row r="6" spans="1:12" x14ac:dyDescent="0.25">
      <c r="A6">
        <v>5</v>
      </c>
      <c r="B6" t="s">
        <v>16</v>
      </c>
      <c r="C6">
        <v>20</v>
      </c>
      <c r="D6">
        <v>10</v>
      </c>
      <c r="E6">
        <v>3</v>
      </c>
      <c r="F6">
        <v>7</v>
      </c>
      <c r="G6">
        <v>39</v>
      </c>
      <c r="H6">
        <v>31</v>
      </c>
      <c r="I6">
        <v>33</v>
      </c>
      <c r="J6">
        <v>32.08</v>
      </c>
      <c r="K6">
        <v>26.71</v>
      </c>
      <c r="L6">
        <v>30.81</v>
      </c>
    </row>
    <row r="7" spans="1:12" x14ac:dyDescent="0.25">
      <c r="A7">
        <v>6</v>
      </c>
      <c r="B7" t="s">
        <v>17</v>
      </c>
      <c r="C7">
        <v>20</v>
      </c>
      <c r="D7">
        <v>10</v>
      </c>
      <c r="E7">
        <v>4</v>
      </c>
      <c r="F7">
        <v>6</v>
      </c>
      <c r="G7">
        <v>38</v>
      </c>
      <c r="H7">
        <v>27</v>
      </c>
      <c r="I7">
        <v>34</v>
      </c>
      <c r="J7">
        <v>36.47</v>
      </c>
      <c r="K7">
        <v>25.72</v>
      </c>
      <c r="L7">
        <v>35.35</v>
      </c>
    </row>
    <row r="8" spans="1:12" x14ac:dyDescent="0.25">
      <c r="A8">
        <v>7</v>
      </c>
      <c r="B8" t="s">
        <v>18</v>
      </c>
      <c r="C8">
        <v>20</v>
      </c>
      <c r="D8">
        <v>9</v>
      </c>
      <c r="E8">
        <v>4</v>
      </c>
      <c r="F8">
        <v>7</v>
      </c>
      <c r="G8">
        <v>32</v>
      </c>
      <c r="H8">
        <v>29</v>
      </c>
      <c r="I8">
        <v>31</v>
      </c>
      <c r="J8">
        <v>28.74</v>
      </c>
      <c r="K8">
        <v>39.54</v>
      </c>
      <c r="L8">
        <v>22.42</v>
      </c>
    </row>
    <row r="9" spans="1:12" x14ac:dyDescent="0.25">
      <c r="A9">
        <v>8</v>
      </c>
      <c r="B9" t="s">
        <v>19</v>
      </c>
      <c r="C9">
        <v>20</v>
      </c>
      <c r="D9">
        <v>7</v>
      </c>
      <c r="E9">
        <v>9</v>
      </c>
      <c r="F9">
        <v>4</v>
      </c>
      <c r="G9">
        <v>32</v>
      </c>
      <c r="H9">
        <v>28</v>
      </c>
      <c r="I9">
        <v>30</v>
      </c>
      <c r="J9">
        <v>30.79</v>
      </c>
      <c r="K9">
        <v>27.41</v>
      </c>
      <c r="L9">
        <v>31.02</v>
      </c>
    </row>
    <row r="10" spans="1:12" x14ac:dyDescent="0.25">
      <c r="A10">
        <v>9</v>
      </c>
      <c r="B10" t="s">
        <v>20</v>
      </c>
      <c r="C10">
        <v>20</v>
      </c>
      <c r="D10">
        <v>8</v>
      </c>
      <c r="E10">
        <v>5</v>
      </c>
      <c r="F10">
        <v>7</v>
      </c>
      <c r="G10">
        <v>34</v>
      </c>
      <c r="H10">
        <v>28</v>
      </c>
      <c r="I10">
        <v>29</v>
      </c>
      <c r="J10">
        <v>41.11</v>
      </c>
      <c r="K10">
        <v>34.630000000000003</v>
      </c>
      <c r="L10">
        <v>30.54</v>
      </c>
    </row>
    <row r="11" spans="1:12" x14ac:dyDescent="0.25">
      <c r="A11">
        <v>10</v>
      </c>
      <c r="B11" t="s">
        <v>21</v>
      </c>
      <c r="C11">
        <v>20</v>
      </c>
      <c r="D11">
        <v>8</v>
      </c>
      <c r="E11">
        <v>5</v>
      </c>
      <c r="F11">
        <v>7</v>
      </c>
      <c r="G11">
        <v>22</v>
      </c>
      <c r="H11">
        <v>21</v>
      </c>
      <c r="I11">
        <v>29</v>
      </c>
      <c r="J11">
        <v>26.97</v>
      </c>
      <c r="K11">
        <v>27.86</v>
      </c>
      <c r="L11">
        <v>26.99</v>
      </c>
    </row>
    <row r="12" spans="1:12" x14ac:dyDescent="0.25">
      <c r="A12">
        <v>11</v>
      </c>
      <c r="B12" t="s">
        <v>22</v>
      </c>
      <c r="C12">
        <v>20</v>
      </c>
      <c r="D12">
        <v>8</v>
      </c>
      <c r="E12">
        <v>4</v>
      </c>
      <c r="F12">
        <v>8</v>
      </c>
      <c r="G12">
        <v>23</v>
      </c>
      <c r="H12">
        <v>27</v>
      </c>
      <c r="I12">
        <v>28</v>
      </c>
      <c r="J12">
        <v>24.11</v>
      </c>
      <c r="K12">
        <v>29.38</v>
      </c>
      <c r="L12">
        <v>26.69</v>
      </c>
    </row>
    <row r="13" spans="1:12" x14ac:dyDescent="0.25">
      <c r="A13">
        <v>12</v>
      </c>
      <c r="B13" t="s">
        <v>23</v>
      </c>
      <c r="C13">
        <v>20</v>
      </c>
      <c r="D13">
        <v>6</v>
      </c>
      <c r="E13">
        <v>6</v>
      </c>
      <c r="F13">
        <v>8</v>
      </c>
      <c r="G13">
        <v>18</v>
      </c>
      <c r="H13">
        <v>27</v>
      </c>
      <c r="I13">
        <v>24</v>
      </c>
      <c r="J13">
        <v>19.84</v>
      </c>
      <c r="K13">
        <v>30.49</v>
      </c>
      <c r="L13">
        <v>20.22</v>
      </c>
    </row>
    <row r="14" spans="1:12" x14ac:dyDescent="0.25">
      <c r="A14">
        <v>13</v>
      </c>
      <c r="B14" t="s">
        <v>24</v>
      </c>
      <c r="C14">
        <v>20</v>
      </c>
      <c r="D14">
        <v>5</v>
      </c>
      <c r="E14">
        <v>6</v>
      </c>
      <c r="F14">
        <v>9</v>
      </c>
      <c r="G14">
        <v>16</v>
      </c>
      <c r="H14">
        <v>35</v>
      </c>
      <c r="I14">
        <v>21</v>
      </c>
      <c r="J14">
        <v>21.54</v>
      </c>
      <c r="K14">
        <v>33.47</v>
      </c>
      <c r="L14">
        <v>20.69</v>
      </c>
    </row>
    <row r="15" spans="1:12" x14ac:dyDescent="0.25">
      <c r="A15">
        <v>14</v>
      </c>
      <c r="B15" t="s">
        <v>25</v>
      </c>
      <c r="C15">
        <v>20</v>
      </c>
      <c r="D15">
        <v>5</v>
      </c>
      <c r="E15">
        <v>3</v>
      </c>
      <c r="F15">
        <v>12</v>
      </c>
      <c r="G15">
        <v>28</v>
      </c>
      <c r="H15">
        <v>35</v>
      </c>
      <c r="I15">
        <v>18</v>
      </c>
      <c r="J15">
        <v>21.03</v>
      </c>
      <c r="K15">
        <v>29.9</v>
      </c>
      <c r="L15">
        <v>21.01</v>
      </c>
    </row>
    <row r="16" spans="1:12" x14ac:dyDescent="0.25">
      <c r="A16">
        <v>15</v>
      </c>
      <c r="B16" t="s">
        <v>26</v>
      </c>
      <c r="C16">
        <v>20</v>
      </c>
      <c r="D16">
        <v>4</v>
      </c>
      <c r="E16">
        <v>6</v>
      </c>
      <c r="F16">
        <v>10</v>
      </c>
      <c r="G16">
        <v>26</v>
      </c>
      <c r="H16">
        <v>34</v>
      </c>
      <c r="I16">
        <v>18</v>
      </c>
      <c r="J16">
        <v>27.53</v>
      </c>
      <c r="K16">
        <v>32.67</v>
      </c>
      <c r="L16">
        <v>25.87</v>
      </c>
    </row>
    <row r="17" spans="1:12" x14ac:dyDescent="0.25">
      <c r="A17">
        <v>16</v>
      </c>
      <c r="B17" t="s">
        <v>27</v>
      </c>
      <c r="C17">
        <v>20</v>
      </c>
      <c r="D17">
        <v>5</v>
      </c>
      <c r="E17">
        <v>3</v>
      </c>
      <c r="F17">
        <v>12</v>
      </c>
      <c r="G17">
        <v>17</v>
      </c>
      <c r="H17">
        <v>25</v>
      </c>
      <c r="I17">
        <v>18</v>
      </c>
      <c r="J17">
        <v>26.26</v>
      </c>
      <c r="K17">
        <v>23.28</v>
      </c>
      <c r="L17">
        <v>28.96</v>
      </c>
    </row>
    <row r="18" spans="1:12" x14ac:dyDescent="0.25">
      <c r="A18">
        <v>17</v>
      </c>
      <c r="B18" t="s">
        <v>28</v>
      </c>
      <c r="C18">
        <v>20</v>
      </c>
      <c r="D18">
        <v>4</v>
      </c>
      <c r="E18">
        <v>5</v>
      </c>
      <c r="F18">
        <v>11</v>
      </c>
      <c r="G18">
        <v>12</v>
      </c>
      <c r="H18">
        <v>30</v>
      </c>
      <c r="I18">
        <v>17</v>
      </c>
      <c r="J18">
        <v>18.14</v>
      </c>
      <c r="K18">
        <v>29.55</v>
      </c>
      <c r="L18">
        <v>19.739999999999998</v>
      </c>
    </row>
    <row r="19" spans="1:12" x14ac:dyDescent="0.25">
      <c r="A19">
        <v>18</v>
      </c>
      <c r="B19" t="s">
        <v>29</v>
      </c>
      <c r="C19">
        <v>20</v>
      </c>
      <c r="D19">
        <v>4</v>
      </c>
      <c r="E19">
        <v>5</v>
      </c>
      <c r="F19">
        <v>11</v>
      </c>
      <c r="G19">
        <v>19</v>
      </c>
      <c r="H19">
        <v>42</v>
      </c>
      <c r="I19">
        <v>17</v>
      </c>
      <c r="J19">
        <v>17.420000000000002</v>
      </c>
      <c r="K19">
        <v>34.92</v>
      </c>
      <c r="L19">
        <v>16.14</v>
      </c>
    </row>
    <row r="20" spans="1:12" x14ac:dyDescent="0.25">
      <c r="A20">
        <v>19</v>
      </c>
      <c r="B20" t="s">
        <v>30</v>
      </c>
      <c r="C20">
        <v>20</v>
      </c>
      <c r="D20">
        <v>3</v>
      </c>
      <c r="E20">
        <v>6</v>
      </c>
      <c r="F20">
        <v>11</v>
      </c>
      <c r="G20">
        <v>15</v>
      </c>
      <c r="H20">
        <v>28</v>
      </c>
      <c r="I20">
        <v>15</v>
      </c>
      <c r="J20">
        <v>20.16</v>
      </c>
      <c r="K20">
        <v>35.020000000000003</v>
      </c>
      <c r="L20">
        <v>17.690000000000001</v>
      </c>
    </row>
    <row r="21" spans="1:12" x14ac:dyDescent="0.25">
      <c r="A21">
        <v>20</v>
      </c>
      <c r="B21" t="s">
        <v>31</v>
      </c>
      <c r="C21">
        <v>20</v>
      </c>
      <c r="D21">
        <v>4</v>
      </c>
      <c r="E21">
        <v>3</v>
      </c>
      <c r="F21">
        <v>13</v>
      </c>
      <c r="G21">
        <v>17</v>
      </c>
      <c r="H21">
        <v>35</v>
      </c>
      <c r="I21">
        <v>15</v>
      </c>
      <c r="J21">
        <v>20.95</v>
      </c>
      <c r="K21">
        <v>29.22</v>
      </c>
      <c r="L21">
        <v>21.51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N1" workbookViewId="0">
      <pane ySplit="1" topLeftCell="A2" activePane="bottomLeft" state="frozen"/>
      <selection pane="bottomLeft" activeCell="X2" sqref="X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s="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s="1" t="s">
        <v>47</v>
      </c>
      <c r="N1" t="s">
        <v>48</v>
      </c>
      <c r="O1" t="s">
        <v>49</v>
      </c>
      <c r="P1" t="s">
        <v>50</v>
      </c>
      <c r="Q1" t="s">
        <v>51</v>
      </c>
      <c r="R1" s="1" t="s">
        <v>52</v>
      </c>
      <c r="S1" t="s">
        <v>53</v>
      </c>
      <c r="T1" t="s">
        <v>54</v>
      </c>
      <c r="U1" t="s">
        <v>55</v>
      </c>
      <c r="V1" t="s">
        <v>56</v>
      </c>
      <c r="X1" s="1" t="s">
        <v>57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12</v>
      </c>
      <c r="B2" s="2">
        <f>IFERROR((VLOOKUP($A2,'21-22'!$B:$L,6,FALSE)-VLOOKUP($A2,'21-22'!$B:$L,7,FALSE))/VLOOKUP($A2,'21-22'!$B:$L,2,FALSE),"")</f>
        <v>0.34210526315789475</v>
      </c>
      <c r="C2" s="2">
        <f>IFERROR((VLOOKUP($A2,'22-23 First 5'!$B:$L,6,FALSE)-VLOOKUP($A2,'22-23 First 5'!$B:$L,7,FALSE))/VLOOKUP($A2,'22-23 First 5'!$B:$L,2,FALSE),"")</f>
        <v>1.8</v>
      </c>
      <c r="D2" s="2">
        <f>IFERROR((VLOOKUP($A2,'22-23 First 10'!$B:$L,6,FALSE)-VLOOKUP($A2,'22-23 First 10'!$B:$L,7,FALSE))/VLOOKUP($A2,'22-23 First 10'!$B:$L,2,FALSE),"")</f>
        <v>1.4</v>
      </c>
      <c r="E2" s="2">
        <f>IFERROR((VLOOKUP($A2,'22-23 First 15'!$B:$L,6,FALSE)-VLOOKUP($A2,'22-23 First 15'!$B:$L,7,FALSE))/VLOOKUP($A2,'22-23 First 15'!$B:$L,2,FALSE),"")</f>
        <v>1.6</v>
      </c>
      <c r="F2" s="2">
        <f>IFERROR((VLOOKUP($A2,'22-23 First 20'!$B:$L,6,FALSE)-VLOOKUP($A2,'22-23 First 20'!$B:$L,7,FALSE))/VLOOKUP($A2,'22-23 First 20'!$B:$L,2,FALSE),"")</f>
        <v>1.4</v>
      </c>
      <c r="G2" s="3">
        <v>2</v>
      </c>
      <c r="H2" s="3">
        <f t="shared" ref="H2:H21" si="0">IFERROR(RANK(B2,$B$2:$B$21,0),"")</f>
        <v>5</v>
      </c>
      <c r="I2" s="3">
        <f t="shared" ref="I2:I21" si="1">IFERROR(RANK(C2,$C$2:$C$21,0),"")</f>
        <v>2</v>
      </c>
      <c r="J2" s="3">
        <f t="shared" ref="J2:J21" si="2">IFERROR(RANK(D2,$D$2:$D$21,0),"")</f>
        <v>2</v>
      </c>
      <c r="K2" s="3">
        <f t="shared" ref="K2:K21" si="3">IFERROR(RANK(E2,$E$2:$E$21,0),"")</f>
        <v>2</v>
      </c>
      <c r="L2" s="3">
        <f t="shared" ref="L2:L21" si="4">IFERROR(RANK(F2,$F$2:$F$21,0),"")</f>
        <v>2</v>
      </c>
      <c r="M2" s="3">
        <f t="shared" ref="M2:M21" si="5">IFERROR(ABS(H2-$G2),"")</f>
        <v>3</v>
      </c>
      <c r="N2" s="3">
        <f t="shared" ref="N2:N21" si="6">IFERROR(ABS(I2-$G2),"")</f>
        <v>0</v>
      </c>
      <c r="O2" s="3">
        <f t="shared" ref="O2:O21" si="7">IFERROR(ABS(J2-$G2),"")</f>
        <v>0</v>
      </c>
      <c r="P2" s="3">
        <f t="shared" ref="P2:P21" si="8">IFERROR(ABS(K2-$G2),"")</f>
        <v>0</v>
      </c>
      <c r="Q2" s="3">
        <f t="shared" ref="Q2:Q21" si="9">IFERROR(ABS(L2-$G2),"")</f>
        <v>0</v>
      </c>
      <c r="R2" s="3">
        <f t="shared" ref="R2:R21" si="10">IFERROR(M2^2,"")</f>
        <v>9</v>
      </c>
      <c r="S2" s="3">
        <f t="shared" ref="S2:S21" si="11">IFERROR(N2^2,"")</f>
        <v>0</v>
      </c>
      <c r="T2" s="3">
        <f t="shared" ref="T2:T21" si="12">IFERROR(O2^2,"")</f>
        <v>0</v>
      </c>
      <c r="U2" s="3">
        <f t="shared" ref="U2:U21" si="13">IFERROR(P2^2,"")</f>
        <v>0</v>
      </c>
      <c r="V2" s="3">
        <f t="shared" ref="V2:V21" si="14">IFERROR(Q2^2,"")</f>
        <v>0</v>
      </c>
      <c r="X2">
        <v>5</v>
      </c>
      <c r="Y2" s="4">
        <f>AVERAGE(N$2:N$21)</f>
        <v>4.1500000000000004</v>
      </c>
      <c r="Z2" s="4">
        <f>SQRT(AVERAGE(S$2:S$21))</f>
        <v>5.5181518645285577</v>
      </c>
      <c r="AA2" s="4">
        <f>AVERAGE($M$2:$M$21)</f>
        <v>4.5294117647058822</v>
      </c>
      <c r="AB2" s="4">
        <f>SQRT(AVERAGE($R$2:$R$21))</f>
        <v>5.4069671829637596</v>
      </c>
    </row>
    <row r="3" spans="1:28" x14ac:dyDescent="0.25">
      <c r="A3" t="s">
        <v>13</v>
      </c>
      <c r="B3" s="2">
        <f>IFERROR((VLOOKUP($A3,'21-22'!$B:$L,6,FALSE)-VLOOKUP($A3,'21-22'!$B:$L,7,FALSE))/VLOOKUP($A3,'21-22'!$B:$L,2,FALSE),"")</f>
        <v>1.9210526315789473</v>
      </c>
      <c r="C3" s="2">
        <f>IFERROR((VLOOKUP($A3,'22-23 First 5'!$B:$L,6,FALSE)-VLOOKUP($A3,'22-23 First 5'!$B:$L,7,FALSE))/VLOOKUP($A3,'22-23 First 5'!$B:$L,2,FALSE),"")</f>
        <v>2.8</v>
      </c>
      <c r="D3" s="2">
        <f>IFERROR((VLOOKUP($A3,'22-23 First 10'!$B:$L,6,FALSE)-VLOOKUP($A3,'22-23 First 10'!$B:$L,7,FALSE))/VLOOKUP($A3,'22-23 First 10'!$B:$L,2,FALSE),"")</f>
        <v>2.2999999999999998</v>
      </c>
      <c r="E3" s="2">
        <f>IFERROR((VLOOKUP($A3,'22-23 First 15'!$B:$L,6,FALSE)-VLOOKUP($A3,'22-23 First 15'!$B:$L,7,FALSE))/VLOOKUP($A3,'22-23 First 15'!$B:$L,2,FALSE),"")</f>
        <v>1.8666666666666667</v>
      </c>
      <c r="F3" s="2">
        <f>IFERROR((VLOOKUP($A3,'22-23 First 20'!$B:$L,6,FALSE)-VLOOKUP($A3,'22-23 First 20'!$B:$L,7,FALSE))/VLOOKUP($A3,'22-23 First 20'!$B:$L,2,FALSE),"")</f>
        <v>1.65</v>
      </c>
      <c r="G3" s="3">
        <v>1</v>
      </c>
      <c r="H3" s="3">
        <f t="shared" si="0"/>
        <v>1</v>
      </c>
      <c r="I3" s="3">
        <f t="shared" si="1"/>
        <v>1</v>
      </c>
      <c r="J3" s="3">
        <f t="shared" si="2"/>
        <v>1</v>
      </c>
      <c r="K3" s="3">
        <f t="shared" si="3"/>
        <v>1</v>
      </c>
      <c r="L3" s="3">
        <f t="shared" si="4"/>
        <v>1</v>
      </c>
      <c r="M3" s="3">
        <f t="shared" si="5"/>
        <v>0</v>
      </c>
      <c r="N3" s="3">
        <f t="shared" si="6"/>
        <v>0</v>
      </c>
      <c r="O3" s="3">
        <f t="shared" si="7"/>
        <v>0</v>
      </c>
      <c r="P3" s="3">
        <f t="shared" si="8"/>
        <v>0</v>
      </c>
      <c r="Q3" s="3">
        <f t="shared" si="9"/>
        <v>0</v>
      </c>
      <c r="R3" s="3">
        <f t="shared" si="10"/>
        <v>0</v>
      </c>
      <c r="S3" s="3">
        <f t="shared" si="11"/>
        <v>0</v>
      </c>
      <c r="T3" s="3">
        <f t="shared" si="12"/>
        <v>0</v>
      </c>
      <c r="U3" s="3">
        <f t="shared" si="13"/>
        <v>0</v>
      </c>
      <c r="V3" s="3">
        <f t="shared" si="14"/>
        <v>0</v>
      </c>
      <c r="X3">
        <v>10</v>
      </c>
      <c r="Y3" s="4">
        <f>AVERAGE(O$2:O$21)</f>
        <v>3.1</v>
      </c>
      <c r="Z3" s="4">
        <f>SQRT(AVERAGE(T$2:T$21))</f>
        <v>3.8470768123342691</v>
      </c>
      <c r="AA3" s="4">
        <f>AVERAGE($M$2:$M$21)</f>
        <v>4.5294117647058822</v>
      </c>
      <c r="AB3" s="4">
        <f>SQRT(AVERAGE($R$2:$R$21))</f>
        <v>5.4069671829637596</v>
      </c>
    </row>
    <row r="4" spans="1:28" x14ac:dyDescent="0.25">
      <c r="A4" t="s">
        <v>14</v>
      </c>
      <c r="B4" s="2">
        <f>IFERROR((VLOOKUP($A4,'21-22'!$B:$L,6,FALSE)-VLOOKUP($A4,'21-22'!$B:$L,7,FALSE))/VLOOKUP($A4,'21-22'!$B:$L,2,FALSE),"")</f>
        <v>-0.47368421052631576</v>
      </c>
      <c r="C4" s="2">
        <f>IFERROR((VLOOKUP($A4,'22-23 First 5'!$B:$L,6,FALSE)-VLOOKUP($A4,'22-23 First 5'!$B:$L,7,FALSE))/VLOOKUP($A4,'22-23 First 5'!$B:$L,2,FALSE),"")</f>
        <v>0.2</v>
      </c>
      <c r="D4" s="2">
        <f>IFERROR((VLOOKUP($A4,'22-23 First 10'!$B:$L,6,FALSE)-VLOOKUP($A4,'22-23 First 10'!$B:$L,7,FALSE))/VLOOKUP($A4,'22-23 First 10'!$B:$L,2,FALSE),"")</f>
        <v>0.8</v>
      </c>
      <c r="E4" s="2">
        <f>IFERROR((VLOOKUP($A4,'22-23 First 15'!$B:$L,6,FALSE)-VLOOKUP($A4,'22-23 First 15'!$B:$L,7,FALSE))/VLOOKUP($A4,'22-23 First 15'!$B:$L,2,FALSE),"")</f>
        <v>1.2</v>
      </c>
      <c r="F4" s="2">
        <f>IFERROR((VLOOKUP($A4,'22-23 First 20'!$B:$L,6,FALSE)-VLOOKUP($A4,'22-23 First 20'!$B:$L,7,FALSE))/VLOOKUP($A4,'22-23 First 20'!$B:$L,2,FALSE),"")</f>
        <v>1.1000000000000001</v>
      </c>
      <c r="G4" s="3">
        <v>4</v>
      </c>
      <c r="H4" s="3">
        <f t="shared" si="0"/>
        <v>14</v>
      </c>
      <c r="I4" s="3">
        <f t="shared" si="1"/>
        <v>8</v>
      </c>
      <c r="J4" s="3">
        <f t="shared" si="2"/>
        <v>5</v>
      </c>
      <c r="K4" s="3">
        <f t="shared" si="3"/>
        <v>3</v>
      </c>
      <c r="L4" s="3">
        <f t="shared" si="4"/>
        <v>3</v>
      </c>
      <c r="M4" s="3">
        <f t="shared" si="5"/>
        <v>10</v>
      </c>
      <c r="N4" s="3">
        <f t="shared" si="6"/>
        <v>4</v>
      </c>
      <c r="O4" s="3">
        <f t="shared" si="7"/>
        <v>1</v>
      </c>
      <c r="P4" s="3">
        <f t="shared" si="8"/>
        <v>1</v>
      </c>
      <c r="Q4" s="3">
        <f t="shared" si="9"/>
        <v>1</v>
      </c>
      <c r="R4" s="3">
        <f t="shared" si="10"/>
        <v>100</v>
      </c>
      <c r="S4" s="3">
        <f t="shared" si="11"/>
        <v>16</v>
      </c>
      <c r="T4" s="3">
        <f t="shared" si="12"/>
        <v>1</v>
      </c>
      <c r="U4" s="3">
        <f t="shared" si="13"/>
        <v>1</v>
      </c>
      <c r="V4" s="3">
        <f t="shared" si="14"/>
        <v>1</v>
      </c>
      <c r="X4">
        <v>15</v>
      </c>
      <c r="Y4" s="4">
        <f>AVERAGE(P$2:P$21)</f>
        <v>2.9</v>
      </c>
      <c r="Z4" s="4">
        <f>SQRT(AVERAGE(U$2:U$21))</f>
        <v>3.7815340802378077</v>
      </c>
      <c r="AA4" s="4">
        <f>AVERAGE($M$2:$M$21)</f>
        <v>4.5294117647058822</v>
      </c>
      <c r="AB4" s="4">
        <f>SQRT(AVERAGE($R$2:$R$21))</f>
        <v>5.4069671829637596</v>
      </c>
    </row>
    <row r="5" spans="1:28" x14ac:dyDescent="0.25">
      <c r="A5" t="s">
        <v>15</v>
      </c>
      <c r="B5" s="2">
        <f>IFERROR((VLOOKUP($A5,'21-22'!$B:$L,6,FALSE)-VLOOKUP($A5,'21-22'!$B:$L,7,FALSE))/VLOOKUP($A5,'21-22'!$B:$L,2,FALSE),"")</f>
        <v>0</v>
      </c>
      <c r="C5" s="2">
        <f>IFERROR((VLOOKUP($A5,'22-23 First 5'!$B:$L,6,FALSE)-VLOOKUP($A5,'22-23 First 5'!$B:$L,7,FALSE))/VLOOKUP($A5,'22-23 First 5'!$B:$L,2,FALSE),"")</f>
        <v>-0.4</v>
      </c>
      <c r="D5" s="2">
        <f>IFERROR((VLOOKUP($A5,'22-23 First 10'!$B:$L,6,FALSE)-VLOOKUP($A5,'22-23 First 10'!$B:$L,7,FALSE))/VLOOKUP($A5,'22-23 First 10'!$B:$L,2,FALSE),"")</f>
        <v>0</v>
      </c>
      <c r="E5" s="2">
        <f>IFERROR((VLOOKUP($A5,'22-23 First 15'!$B:$L,6,FALSE)-VLOOKUP($A5,'22-23 First 15'!$B:$L,7,FALSE))/VLOOKUP($A5,'22-23 First 15'!$B:$L,2,FALSE),"")</f>
        <v>0.2</v>
      </c>
      <c r="F5" s="2">
        <f>IFERROR((VLOOKUP($A5,'22-23 First 20'!$B:$L,6,FALSE)-VLOOKUP($A5,'22-23 First 20'!$B:$L,7,FALSE))/VLOOKUP($A5,'22-23 First 20'!$B:$L,2,FALSE),"")</f>
        <v>0.35</v>
      </c>
      <c r="G5" s="3">
        <v>3</v>
      </c>
      <c r="H5" s="3">
        <f t="shared" si="0"/>
        <v>9</v>
      </c>
      <c r="I5" s="3">
        <f t="shared" si="1"/>
        <v>10</v>
      </c>
      <c r="J5" s="3">
        <f t="shared" si="2"/>
        <v>9</v>
      </c>
      <c r="K5" s="3">
        <f t="shared" si="3"/>
        <v>7</v>
      </c>
      <c r="L5" s="3">
        <f t="shared" si="4"/>
        <v>6</v>
      </c>
      <c r="M5" s="3">
        <f t="shared" si="5"/>
        <v>6</v>
      </c>
      <c r="N5" s="3">
        <f t="shared" si="6"/>
        <v>7</v>
      </c>
      <c r="O5" s="3">
        <f t="shared" si="7"/>
        <v>6</v>
      </c>
      <c r="P5" s="3">
        <f t="shared" si="8"/>
        <v>4</v>
      </c>
      <c r="Q5" s="3">
        <f t="shared" si="9"/>
        <v>3</v>
      </c>
      <c r="R5" s="3">
        <f t="shared" si="10"/>
        <v>36</v>
      </c>
      <c r="S5" s="3">
        <f t="shared" si="11"/>
        <v>49</v>
      </c>
      <c r="T5" s="3">
        <f t="shared" si="12"/>
        <v>36</v>
      </c>
      <c r="U5" s="3">
        <f t="shared" si="13"/>
        <v>16</v>
      </c>
      <c r="V5" s="3">
        <f t="shared" si="14"/>
        <v>9</v>
      </c>
      <c r="X5">
        <v>20</v>
      </c>
      <c r="Y5" s="4">
        <f>AVERAGE(Q$2:Q$21)</f>
        <v>2.6</v>
      </c>
      <c r="Z5" s="4">
        <f>SQRT(AVERAGE(V$2:V$21))</f>
        <v>3.1464265445104549</v>
      </c>
      <c r="AA5" s="4">
        <f>AVERAGE($M$2:$M$21)</f>
        <v>4.5294117647058822</v>
      </c>
      <c r="AB5" s="4">
        <f>SQRT(AVERAGE($R$2:$R$21))</f>
        <v>5.4069671829637596</v>
      </c>
    </row>
    <row r="6" spans="1:28" x14ac:dyDescent="0.25">
      <c r="A6" t="s">
        <v>16</v>
      </c>
      <c r="B6" s="2">
        <f>IFERROR((VLOOKUP($A6,'21-22'!$B:$L,6,FALSE)-VLOOKUP($A6,'21-22'!$B:$L,7,FALSE))/VLOOKUP($A6,'21-22'!$B:$L,2,FALSE),"")</f>
        <v>0.76315789473684215</v>
      </c>
      <c r="C6" s="2">
        <f>IFERROR((VLOOKUP($A6,'22-23 First 5'!$B:$L,6,FALSE)-VLOOKUP($A6,'22-23 First 5'!$B:$L,7,FALSE))/VLOOKUP($A6,'22-23 First 5'!$B:$L,2,FALSE),"")</f>
        <v>1.2</v>
      </c>
      <c r="D6" s="2">
        <f>IFERROR((VLOOKUP($A6,'22-23 First 10'!$B:$L,6,FALSE)-VLOOKUP($A6,'22-23 First 10'!$B:$L,7,FALSE))/VLOOKUP($A6,'22-23 First 10'!$B:$L,2,FALSE),"")</f>
        <v>1.2</v>
      </c>
      <c r="E6" s="2">
        <f>IFERROR((VLOOKUP($A6,'22-23 First 15'!$B:$L,6,FALSE)-VLOOKUP($A6,'22-23 First 15'!$B:$L,7,FALSE))/VLOOKUP($A6,'22-23 First 15'!$B:$L,2,FALSE),"")</f>
        <v>0.66666666666666663</v>
      </c>
      <c r="F6" s="2">
        <f>IFERROR((VLOOKUP($A6,'22-23 First 20'!$B:$L,6,FALSE)-VLOOKUP($A6,'22-23 First 20'!$B:$L,7,FALSE))/VLOOKUP($A6,'22-23 First 20'!$B:$L,2,FALSE),"")</f>
        <v>0.4</v>
      </c>
      <c r="G6" s="3">
        <v>8</v>
      </c>
      <c r="H6" s="3">
        <f t="shared" si="0"/>
        <v>4</v>
      </c>
      <c r="I6" s="3">
        <f t="shared" si="1"/>
        <v>4</v>
      </c>
      <c r="J6" s="3">
        <f t="shared" si="2"/>
        <v>3</v>
      </c>
      <c r="K6" s="3">
        <f t="shared" si="3"/>
        <v>5</v>
      </c>
      <c r="L6" s="3">
        <f t="shared" si="4"/>
        <v>5</v>
      </c>
      <c r="M6" s="3">
        <f t="shared" si="5"/>
        <v>4</v>
      </c>
      <c r="N6" s="3">
        <f t="shared" si="6"/>
        <v>4</v>
      </c>
      <c r="O6" s="3">
        <f t="shared" si="7"/>
        <v>5</v>
      </c>
      <c r="P6" s="3">
        <f t="shared" si="8"/>
        <v>3</v>
      </c>
      <c r="Q6" s="3">
        <f t="shared" si="9"/>
        <v>3</v>
      </c>
      <c r="R6" s="3">
        <f t="shared" si="10"/>
        <v>16</v>
      </c>
      <c r="S6" s="3">
        <f t="shared" si="11"/>
        <v>16</v>
      </c>
      <c r="T6" s="3">
        <f t="shared" si="12"/>
        <v>25</v>
      </c>
      <c r="U6" s="3">
        <f t="shared" si="13"/>
        <v>9</v>
      </c>
      <c r="V6" s="3">
        <f t="shared" si="14"/>
        <v>9</v>
      </c>
    </row>
    <row r="7" spans="1:28" x14ac:dyDescent="0.25">
      <c r="A7" t="s">
        <v>17</v>
      </c>
      <c r="B7" s="2">
        <f>IFERROR((VLOOKUP($A7,'21-22'!$B:$L,6,FALSE)-VLOOKUP($A7,'21-22'!$B:$L,7,FALSE))/VLOOKUP($A7,'21-22'!$B:$L,2,FALSE),"")</f>
        <v>-5.2631578947368418E-2</v>
      </c>
      <c r="C7" s="2">
        <f>IFERROR((VLOOKUP($A7,'22-23 First 5'!$B:$L,6,FALSE)-VLOOKUP($A7,'22-23 First 5'!$B:$L,7,FALSE))/VLOOKUP($A7,'22-23 First 5'!$B:$L,2,FALSE),"")</f>
        <v>0.6</v>
      </c>
      <c r="D7" s="2">
        <f>IFERROR((VLOOKUP($A7,'22-23 First 10'!$B:$L,6,FALSE)-VLOOKUP($A7,'22-23 First 10'!$B:$L,7,FALSE))/VLOOKUP($A7,'22-23 First 10'!$B:$L,2,FALSE),"")</f>
        <v>0.3</v>
      </c>
      <c r="E7" s="2">
        <f>IFERROR((VLOOKUP($A7,'22-23 First 15'!$B:$L,6,FALSE)-VLOOKUP($A7,'22-23 First 15'!$B:$L,7,FALSE))/VLOOKUP($A7,'22-23 First 15'!$B:$L,2,FALSE),"")</f>
        <v>0.4</v>
      </c>
      <c r="F7" s="2">
        <f>IFERROR((VLOOKUP($A7,'22-23 First 20'!$B:$L,6,FALSE)-VLOOKUP($A7,'22-23 First 20'!$B:$L,7,FALSE))/VLOOKUP($A7,'22-23 First 20'!$B:$L,2,FALSE),"")</f>
        <v>0.55000000000000004</v>
      </c>
      <c r="G7" s="3">
        <v>6</v>
      </c>
      <c r="H7" s="3">
        <f t="shared" si="0"/>
        <v>10</v>
      </c>
      <c r="I7" s="3">
        <f t="shared" si="1"/>
        <v>5</v>
      </c>
      <c r="J7" s="3">
        <f t="shared" si="2"/>
        <v>7</v>
      </c>
      <c r="K7" s="3">
        <f t="shared" si="3"/>
        <v>6</v>
      </c>
      <c r="L7" s="3">
        <f t="shared" si="4"/>
        <v>4</v>
      </c>
      <c r="M7" s="3">
        <f t="shared" si="5"/>
        <v>4</v>
      </c>
      <c r="N7" s="3">
        <f t="shared" si="6"/>
        <v>1</v>
      </c>
      <c r="O7" s="3">
        <f t="shared" si="7"/>
        <v>1</v>
      </c>
      <c r="P7" s="3">
        <f t="shared" si="8"/>
        <v>0</v>
      </c>
      <c r="Q7" s="3">
        <f t="shared" si="9"/>
        <v>2</v>
      </c>
      <c r="R7" s="3">
        <f t="shared" si="10"/>
        <v>16</v>
      </c>
      <c r="S7" s="3">
        <f t="shared" si="11"/>
        <v>1</v>
      </c>
      <c r="T7" s="3">
        <f t="shared" si="12"/>
        <v>1</v>
      </c>
      <c r="U7" s="3">
        <f t="shared" si="13"/>
        <v>0</v>
      </c>
      <c r="V7" s="3">
        <f t="shared" si="14"/>
        <v>4</v>
      </c>
    </row>
    <row r="8" spans="1:28" x14ac:dyDescent="0.25">
      <c r="A8" s="5" t="s">
        <v>18</v>
      </c>
      <c r="B8" s="6" t="str">
        <f>IFERROR((VLOOKUP($A8,'21-22'!$B:$L,6,FALSE)-VLOOKUP($A8,'21-22'!$B:$L,7,FALSE))/VLOOKUP($A8,'21-22'!$B:$L,2,FALSE),"")</f>
        <v/>
      </c>
      <c r="C8" s="6">
        <f>IFERROR((VLOOKUP($A8,'22-23 First 5'!$B:$L,6,FALSE)-VLOOKUP($A8,'22-23 First 5'!$B:$L,7,FALSE))/VLOOKUP($A8,'22-23 First 5'!$B:$L,2,FALSE),"")</f>
        <v>0.2</v>
      </c>
      <c r="D8" s="6">
        <f>IFERROR((VLOOKUP($A8,'22-23 First 10'!$B:$L,6,FALSE)-VLOOKUP($A8,'22-23 First 10'!$B:$L,7,FALSE))/VLOOKUP($A8,'22-23 First 10'!$B:$L,2,FALSE),"")</f>
        <v>-0.4</v>
      </c>
      <c r="E8" s="6">
        <f>IFERROR((VLOOKUP($A8,'22-23 First 15'!$B:$L,6,FALSE)-VLOOKUP($A8,'22-23 First 15'!$B:$L,7,FALSE))/VLOOKUP($A8,'22-23 First 15'!$B:$L,2,FALSE),"")</f>
        <v>-0.13333333333333333</v>
      </c>
      <c r="F8" s="6">
        <f>IFERROR((VLOOKUP($A8,'22-23 First 20'!$B:$L,6,FALSE)-VLOOKUP($A8,'22-23 First 20'!$B:$L,7,FALSE))/VLOOKUP($A8,'22-23 First 20'!$B:$L,2,FALSE),"")</f>
        <v>0.15</v>
      </c>
      <c r="G8" s="3">
        <v>10</v>
      </c>
      <c r="H8" s="3" t="str">
        <f t="shared" si="0"/>
        <v/>
      </c>
      <c r="I8" s="3">
        <f t="shared" si="1"/>
        <v>8</v>
      </c>
      <c r="J8" s="3">
        <f t="shared" si="2"/>
        <v>13</v>
      </c>
      <c r="K8" s="3">
        <f t="shared" si="3"/>
        <v>10</v>
      </c>
      <c r="L8" s="3">
        <f t="shared" si="4"/>
        <v>9</v>
      </c>
      <c r="M8" s="3" t="str">
        <f t="shared" si="5"/>
        <v/>
      </c>
      <c r="N8" s="3">
        <f t="shared" si="6"/>
        <v>2</v>
      </c>
      <c r="O8" s="3">
        <f t="shared" si="7"/>
        <v>3</v>
      </c>
      <c r="P8" s="3">
        <f t="shared" si="8"/>
        <v>0</v>
      </c>
      <c r="Q8" s="3">
        <f t="shared" si="9"/>
        <v>1</v>
      </c>
      <c r="R8" s="3" t="str">
        <f t="shared" si="10"/>
        <v/>
      </c>
      <c r="S8" s="3">
        <f t="shared" si="11"/>
        <v>4</v>
      </c>
      <c r="T8" s="3">
        <f t="shared" si="12"/>
        <v>9</v>
      </c>
      <c r="U8" s="3">
        <f t="shared" si="13"/>
        <v>0</v>
      </c>
      <c r="V8" s="3">
        <f t="shared" si="14"/>
        <v>1</v>
      </c>
    </row>
    <row r="9" spans="1:28" x14ac:dyDescent="0.25">
      <c r="A9" t="s">
        <v>19</v>
      </c>
      <c r="B9" s="2">
        <f>IFERROR((VLOOKUP($A9,'21-22'!$B:$L,6,FALSE)-VLOOKUP($A9,'21-22'!$B:$L,7,FALSE))/VLOOKUP($A9,'21-22'!$B:$L,2,FALSE),"")</f>
        <v>-0.21052631578947367</v>
      </c>
      <c r="C9" s="2">
        <f>IFERROR((VLOOKUP($A9,'22-23 First 5'!$B:$L,6,FALSE)-VLOOKUP($A9,'22-23 First 5'!$B:$L,7,FALSE))/VLOOKUP($A9,'22-23 First 5'!$B:$L,2,FALSE),"")</f>
        <v>0.6</v>
      </c>
      <c r="D9" s="2">
        <f>IFERROR((VLOOKUP($A9,'22-23 First 10'!$B:$L,6,FALSE)-VLOOKUP($A9,'22-23 First 10'!$B:$L,7,FALSE))/VLOOKUP($A9,'22-23 First 10'!$B:$L,2,FALSE),"")</f>
        <v>0.1</v>
      </c>
      <c r="E9" s="2">
        <f>IFERROR((VLOOKUP($A9,'22-23 First 15'!$B:$L,6,FALSE)-VLOOKUP($A9,'22-23 First 15'!$B:$L,7,FALSE))/VLOOKUP($A9,'22-23 First 15'!$B:$L,2,FALSE),"")</f>
        <v>-0.13333333333333333</v>
      </c>
      <c r="F9" s="2">
        <f>IFERROR((VLOOKUP($A9,'22-23 First 20'!$B:$L,6,FALSE)-VLOOKUP($A9,'22-23 First 20'!$B:$L,7,FALSE))/VLOOKUP($A9,'22-23 First 20'!$B:$L,2,FALSE),"")</f>
        <v>0.2</v>
      </c>
      <c r="G9" s="3">
        <v>9</v>
      </c>
      <c r="H9" s="3">
        <f t="shared" si="0"/>
        <v>13</v>
      </c>
      <c r="I9" s="3">
        <f t="shared" si="1"/>
        <v>5</v>
      </c>
      <c r="J9" s="3">
        <f t="shared" si="2"/>
        <v>8</v>
      </c>
      <c r="K9" s="3">
        <f t="shared" si="3"/>
        <v>10</v>
      </c>
      <c r="L9" s="3">
        <f t="shared" si="4"/>
        <v>8</v>
      </c>
      <c r="M9" s="3">
        <f t="shared" si="5"/>
        <v>4</v>
      </c>
      <c r="N9" s="3">
        <f t="shared" si="6"/>
        <v>4</v>
      </c>
      <c r="O9" s="3">
        <f t="shared" si="7"/>
        <v>1</v>
      </c>
      <c r="P9" s="3">
        <f t="shared" si="8"/>
        <v>1</v>
      </c>
      <c r="Q9" s="3">
        <f t="shared" si="9"/>
        <v>1</v>
      </c>
      <c r="R9" s="3">
        <f t="shared" si="10"/>
        <v>16</v>
      </c>
      <c r="S9" s="3">
        <f t="shared" si="11"/>
        <v>16</v>
      </c>
      <c r="T9" s="3">
        <f t="shared" si="12"/>
        <v>1</v>
      </c>
      <c r="U9" s="3">
        <f t="shared" si="13"/>
        <v>1</v>
      </c>
      <c r="V9" s="3">
        <f t="shared" si="14"/>
        <v>1</v>
      </c>
    </row>
    <row r="10" spans="1:28" x14ac:dyDescent="0.25">
      <c r="A10" t="s">
        <v>20</v>
      </c>
      <c r="B10" s="2">
        <f>IFERROR((VLOOKUP($A10,'21-22'!$B:$L,6,FALSE)-VLOOKUP($A10,'21-22'!$B:$L,7,FALSE))/VLOOKUP($A10,'21-22'!$B:$L,2,FALSE),"")</f>
        <v>1.7894736842105263</v>
      </c>
      <c r="C10" s="2">
        <f>IFERROR((VLOOKUP($A10,'22-23 First 5'!$B:$L,6,FALSE)-VLOOKUP($A10,'22-23 First 5'!$B:$L,7,FALSE))/VLOOKUP($A10,'22-23 First 5'!$B:$L,2,FALSE),"")</f>
        <v>1.8</v>
      </c>
      <c r="D10" s="2">
        <f>IFERROR((VLOOKUP($A10,'22-23 First 10'!$B:$L,6,FALSE)-VLOOKUP($A10,'22-23 First 10'!$B:$L,7,FALSE))/VLOOKUP($A10,'22-23 First 10'!$B:$L,2,FALSE),"")</f>
        <v>1</v>
      </c>
      <c r="E10" s="2">
        <f>IFERROR((VLOOKUP($A10,'22-23 First 15'!$B:$L,6,FALSE)-VLOOKUP($A10,'22-23 First 15'!$B:$L,7,FALSE))/VLOOKUP($A10,'22-23 First 15'!$B:$L,2,FALSE),"")</f>
        <v>0.8666666666666667</v>
      </c>
      <c r="F10" s="2">
        <f>IFERROR((VLOOKUP($A10,'22-23 First 20'!$B:$L,6,FALSE)-VLOOKUP($A10,'22-23 First 20'!$B:$L,7,FALSE))/VLOOKUP($A10,'22-23 First 20'!$B:$L,2,FALSE),"")</f>
        <v>0.3</v>
      </c>
      <c r="G10" s="3">
        <v>5</v>
      </c>
      <c r="H10" s="3">
        <f t="shared" si="0"/>
        <v>2</v>
      </c>
      <c r="I10" s="3">
        <f t="shared" si="1"/>
        <v>2</v>
      </c>
      <c r="J10" s="3">
        <f t="shared" si="2"/>
        <v>4</v>
      </c>
      <c r="K10" s="3">
        <f t="shared" si="3"/>
        <v>4</v>
      </c>
      <c r="L10" s="3">
        <f t="shared" si="4"/>
        <v>7</v>
      </c>
      <c r="M10" s="3">
        <f t="shared" si="5"/>
        <v>3</v>
      </c>
      <c r="N10" s="3">
        <f t="shared" si="6"/>
        <v>3</v>
      </c>
      <c r="O10" s="3">
        <f t="shared" si="7"/>
        <v>1</v>
      </c>
      <c r="P10" s="3">
        <f t="shared" si="8"/>
        <v>1</v>
      </c>
      <c r="Q10" s="3">
        <f t="shared" si="9"/>
        <v>2</v>
      </c>
      <c r="R10" s="3">
        <f t="shared" si="10"/>
        <v>9</v>
      </c>
      <c r="S10" s="3">
        <f t="shared" si="11"/>
        <v>9</v>
      </c>
      <c r="T10" s="3">
        <f t="shared" si="12"/>
        <v>1</v>
      </c>
      <c r="U10" s="3">
        <f t="shared" si="13"/>
        <v>1</v>
      </c>
      <c r="V10" s="3">
        <f t="shared" si="14"/>
        <v>4</v>
      </c>
    </row>
    <row r="11" spans="1:28" x14ac:dyDescent="0.25">
      <c r="A11" t="s">
        <v>21</v>
      </c>
      <c r="B11" s="2">
        <f>IFERROR((VLOOKUP($A11,'21-22'!$B:$L,6,FALSE)-VLOOKUP($A11,'21-22'!$B:$L,7,FALSE))/VLOOKUP($A11,'21-22'!$B:$L,2,FALSE),"")</f>
        <v>1.131578947368421</v>
      </c>
      <c r="C11" s="2">
        <f>IFERROR((VLOOKUP($A11,'22-23 First 5'!$B:$L,6,FALSE)-VLOOKUP($A11,'22-23 First 5'!$B:$L,7,FALSE))/VLOOKUP($A11,'22-23 First 5'!$B:$L,2,FALSE),"")</f>
        <v>-0.4</v>
      </c>
      <c r="D11" s="2">
        <f>IFERROR((VLOOKUP($A11,'22-23 First 10'!$B:$L,6,FALSE)-VLOOKUP($A11,'22-23 First 10'!$B:$L,7,FALSE))/VLOOKUP($A11,'22-23 First 10'!$B:$L,2,FALSE),"")</f>
        <v>0.5</v>
      </c>
      <c r="E11" s="2">
        <f>IFERROR((VLOOKUP($A11,'22-23 First 15'!$B:$L,6,FALSE)-VLOOKUP($A11,'22-23 First 15'!$B:$L,7,FALSE))/VLOOKUP($A11,'22-23 First 15'!$B:$L,2,FALSE),"")</f>
        <v>0.13333333333333333</v>
      </c>
      <c r="F11" s="2">
        <f>IFERROR((VLOOKUP($A11,'22-23 First 20'!$B:$L,6,FALSE)-VLOOKUP($A11,'22-23 First 20'!$B:$L,7,FALSE))/VLOOKUP($A11,'22-23 First 20'!$B:$L,2,FALSE),"")</f>
        <v>0.05</v>
      </c>
      <c r="G11" s="3">
        <v>12</v>
      </c>
      <c r="H11" s="3">
        <f t="shared" si="0"/>
        <v>3</v>
      </c>
      <c r="I11" s="3">
        <f t="shared" si="1"/>
        <v>10</v>
      </c>
      <c r="J11" s="3">
        <f t="shared" si="2"/>
        <v>6</v>
      </c>
      <c r="K11" s="3">
        <f t="shared" si="3"/>
        <v>8</v>
      </c>
      <c r="L11" s="3">
        <f t="shared" si="4"/>
        <v>10</v>
      </c>
      <c r="M11" s="3">
        <f t="shared" si="5"/>
        <v>9</v>
      </c>
      <c r="N11" s="3">
        <f t="shared" si="6"/>
        <v>2</v>
      </c>
      <c r="O11" s="3">
        <f t="shared" si="7"/>
        <v>6</v>
      </c>
      <c r="P11" s="3">
        <f t="shared" si="8"/>
        <v>4</v>
      </c>
      <c r="Q11" s="3">
        <f t="shared" si="9"/>
        <v>2</v>
      </c>
      <c r="R11" s="3">
        <f t="shared" si="10"/>
        <v>81</v>
      </c>
      <c r="S11" s="3">
        <f t="shared" si="11"/>
        <v>4</v>
      </c>
      <c r="T11" s="3">
        <f t="shared" si="12"/>
        <v>36</v>
      </c>
      <c r="U11" s="3">
        <f t="shared" si="13"/>
        <v>16</v>
      </c>
      <c r="V11" s="3">
        <f t="shared" si="14"/>
        <v>4</v>
      </c>
    </row>
    <row r="12" spans="1:28" x14ac:dyDescent="0.25">
      <c r="A12" t="s">
        <v>22</v>
      </c>
      <c r="B12" s="2">
        <f>IFERROR((VLOOKUP($A12,'21-22'!$B:$L,6,FALSE)-VLOOKUP($A12,'21-22'!$B:$L,7,FALSE))/VLOOKUP($A12,'21-22'!$B:$L,2,FALSE),"")</f>
        <v>-5.2631578947368418E-2</v>
      </c>
      <c r="C12" s="2">
        <f>IFERROR((VLOOKUP($A12,'22-23 First 5'!$B:$L,6,FALSE)-VLOOKUP($A12,'22-23 First 5'!$B:$L,7,FALSE))/VLOOKUP($A12,'22-23 First 5'!$B:$L,2,FALSE),"")</f>
        <v>-1</v>
      </c>
      <c r="D12" s="2">
        <f>IFERROR((VLOOKUP($A12,'22-23 First 10'!$B:$L,6,FALSE)-VLOOKUP($A12,'22-23 First 10'!$B:$L,7,FALSE))/VLOOKUP($A12,'22-23 First 10'!$B:$L,2,FALSE),"")</f>
        <v>-0.6</v>
      </c>
      <c r="E12" s="2">
        <f>IFERROR((VLOOKUP($A12,'22-23 First 15'!$B:$L,6,FALSE)-VLOOKUP($A12,'22-23 First 15'!$B:$L,7,FALSE))/VLOOKUP($A12,'22-23 First 15'!$B:$L,2,FALSE),"")</f>
        <v>-0.4</v>
      </c>
      <c r="F12" s="2">
        <f>IFERROR((VLOOKUP($A12,'22-23 First 20'!$B:$L,6,FALSE)-VLOOKUP($A12,'22-23 First 20'!$B:$L,7,FALSE))/VLOOKUP($A12,'22-23 First 20'!$B:$L,2,FALSE),"")</f>
        <v>-0.2</v>
      </c>
      <c r="G12" s="3">
        <v>7</v>
      </c>
      <c r="H12" s="3">
        <f t="shared" si="0"/>
        <v>10</v>
      </c>
      <c r="I12" s="3">
        <f t="shared" si="1"/>
        <v>17</v>
      </c>
      <c r="J12" s="3">
        <f t="shared" si="2"/>
        <v>15</v>
      </c>
      <c r="K12" s="3">
        <f t="shared" si="3"/>
        <v>13</v>
      </c>
      <c r="L12" s="3">
        <f t="shared" si="4"/>
        <v>11</v>
      </c>
      <c r="M12" s="3">
        <f t="shared" si="5"/>
        <v>3</v>
      </c>
      <c r="N12" s="3">
        <f t="shared" si="6"/>
        <v>10</v>
      </c>
      <c r="O12" s="3">
        <f t="shared" si="7"/>
        <v>8</v>
      </c>
      <c r="P12" s="3">
        <f t="shared" si="8"/>
        <v>6</v>
      </c>
      <c r="Q12" s="3">
        <f t="shared" si="9"/>
        <v>4</v>
      </c>
      <c r="R12" s="3">
        <f t="shared" si="10"/>
        <v>9</v>
      </c>
      <c r="S12" s="3">
        <f t="shared" si="11"/>
        <v>100</v>
      </c>
      <c r="T12" s="3">
        <f t="shared" si="12"/>
        <v>64</v>
      </c>
      <c r="U12" s="3">
        <f t="shared" si="13"/>
        <v>36</v>
      </c>
      <c r="V12" s="3">
        <f t="shared" si="14"/>
        <v>16</v>
      </c>
    </row>
    <row r="13" spans="1:28" x14ac:dyDescent="0.25">
      <c r="A13" t="s">
        <v>23</v>
      </c>
      <c r="B13" s="2">
        <f>IFERROR((VLOOKUP($A13,'21-22'!$B:$L,6,FALSE)-VLOOKUP($A13,'21-22'!$B:$L,7,FALSE))/VLOOKUP($A13,'21-22'!$B:$L,2,FALSE),"")</f>
        <v>0.10526315789473684</v>
      </c>
      <c r="C13" s="2">
        <f>IFERROR((VLOOKUP($A13,'22-23 First 5'!$B:$L,6,FALSE)-VLOOKUP($A13,'22-23 First 5'!$B:$L,7,FALSE))/VLOOKUP($A13,'22-23 First 5'!$B:$L,2,FALSE),"")</f>
        <v>-0.4</v>
      </c>
      <c r="D13" s="2">
        <f>IFERROR((VLOOKUP($A13,'22-23 First 10'!$B:$L,6,FALSE)-VLOOKUP($A13,'22-23 First 10'!$B:$L,7,FALSE))/VLOOKUP($A13,'22-23 First 10'!$B:$L,2,FALSE),"")</f>
        <v>-0.1</v>
      </c>
      <c r="E13" s="2">
        <f>IFERROR((VLOOKUP($A13,'22-23 First 15'!$B:$L,6,FALSE)-VLOOKUP($A13,'22-23 First 15'!$B:$L,7,FALSE))/VLOOKUP($A13,'22-23 First 15'!$B:$L,2,FALSE),"")</f>
        <v>-0.4</v>
      </c>
      <c r="F13" s="2">
        <f>IFERROR((VLOOKUP($A13,'22-23 First 20'!$B:$L,6,FALSE)-VLOOKUP($A13,'22-23 First 20'!$B:$L,7,FALSE))/VLOOKUP($A13,'22-23 First 20'!$B:$L,2,FALSE),"")</f>
        <v>-0.45</v>
      </c>
      <c r="G13" s="3">
        <v>11</v>
      </c>
      <c r="H13" s="3">
        <f t="shared" si="0"/>
        <v>7</v>
      </c>
      <c r="I13" s="3">
        <f t="shared" si="1"/>
        <v>10</v>
      </c>
      <c r="J13" s="3">
        <f t="shared" si="2"/>
        <v>10</v>
      </c>
      <c r="K13" s="3">
        <f t="shared" si="3"/>
        <v>13</v>
      </c>
      <c r="L13" s="3">
        <f t="shared" si="4"/>
        <v>15</v>
      </c>
      <c r="M13" s="3">
        <f t="shared" si="5"/>
        <v>4</v>
      </c>
      <c r="N13" s="3">
        <f t="shared" si="6"/>
        <v>1</v>
      </c>
      <c r="O13" s="3">
        <f t="shared" si="7"/>
        <v>1</v>
      </c>
      <c r="P13" s="3">
        <f t="shared" si="8"/>
        <v>2</v>
      </c>
      <c r="Q13" s="3">
        <f t="shared" si="9"/>
        <v>4</v>
      </c>
      <c r="R13" s="3">
        <f t="shared" si="10"/>
        <v>16</v>
      </c>
      <c r="S13" s="3">
        <f t="shared" si="11"/>
        <v>1</v>
      </c>
      <c r="T13" s="3">
        <f t="shared" si="12"/>
        <v>1</v>
      </c>
      <c r="U13" s="3">
        <f t="shared" si="13"/>
        <v>4</v>
      </c>
      <c r="V13" s="3">
        <f t="shared" si="14"/>
        <v>16</v>
      </c>
    </row>
    <row r="14" spans="1:28" x14ac:dyDescent="0.25">
      <c r="A14" s="5" t="s">
        <v>24</v>
      </c>
      <c r="B14" s="6" t="str">
        <f>IFERROR((VLOOKUP($A14,'21-22'!$B:$L,6,FALSE)-VLOOKUP($A14,'21-22'!$B:$L,7,FALSE))/VLOOKUP($A14,'21-22'!$B:$L,2,FALSE),"")</f>
        <v/>
      </c>
      <c r="C14" s="6">
        <f>IFERROR((VLOOKUP($A14,'22-23 First 5'!$B:$L,6,FALSE)-VLOOKUP($A14,'22-23 First 5'!$B:$L,7,FALSE))/VLOOKUP($A14,'22-23 First 5'!$B:$L,2,FALSE),"")</f>
        <v>-1.8</v>
      </c>
      <c r="D14" s="6">
        <f>IFERROR((VLOOKUP($A14,'22-23 First 10'!$B:$L,6,FALSE)-VLOOKUP($A14,'22-23 First 10'!$B:$L,7,FALSE))/VLOOKUP($A14,'22-23 First 10'!$B:$L,2,FALSE),"")</f>
        <v>-1.6</v>
      </c>
      <c r="E14" s="6">
        <f>IFERROR((VLOOKUP($A14,'22-23 First 15'!$B:$L,6,FALSE)-VLOOKUP($A14,'22-23 First 15'!$B:$L,7,FALSE))/VLOOKUP($A14,'22-23 First 15'!$B:$L,2,FALSE),"")</f>
        <v>-1.2666666666666666</v>
      </c>
      <c r="F14" s="6">
        <f>IFERROR((VLOOKUP($A14,'22-23 First 20'!$B:$L,6,FALSE)-VLOOKUP($A14,'22-23 First 20'!$B:$L,7,FALSE))/VLOOKUP($A14,'22-23 First 20'!$B:$L,2,FALSE),"")</f>
        <v>-0.95</v>
      </c>
      <c r="G14" s="3">
        <v>16</v>
      </c>
      <c r="H14" s="3" t="str">
        <f t="shared" si="0"/>
        <v/>
      </c>
      <c r="I14" s="3">
        <f t="shared" si="1"/>
        <v>19</v>
      </c>
      <c r="J14" s="3">
        <f t="shared" si="2"/>
        <v>20</v>
      </c>
      <c r="K14" s="3">
        <f t="shared" si="3"/>
        <v>20</v>
      </c>
      <c r="L14" s="3">
        <f t="shared" si="4"/>
        <v>19</v>
      </c>
      <c r="M14" s="3" t="str">
        <f t="shared" si="5"/>
        <v/>
      </c>
      <c r="N14" s="3">
        <f t="shared" si="6"/>
        <v>3</v>
      </c>
      <c r="O14" s="3">
        <f t="shared" si="7"/>
        <v>4</v>
      </c>
      <c r="P14" s="3">
        <f t="shared" si="8"/>
        <v>4</v>
      </c>
      <c r="Q14" s="3">
        <f t="shared" si="9"/>
        <v>3</v>
      </c>
      <c r="R14" s="3" t="str">
        <f t="shared" si="10"/>
        <v/>
      </c>
      <c r="S14" s="3">
        <f t="shared" si="11"/>
        <v>9</v>
      </c>
      <c r="T14" s="3">
        <f t="shared" si="12"/>
        <v>16</v>
      </c>
      <c r="U14" s="3">
        <f t="shared" si="13"/>
        <v>16</v>
      </c>
      <c r="V14" s="3">
        <f t="shared" si="14"/>
        <v>9</v>
      </c>
    </row>
    <row r="15" spans="1:28" x14ac:dyDescent="0.25">
      <c r="A15" t="s">
        <v>25</v>
      </c>
      <c r="B15" s="2">
        <f>IFERROR((VLOOKUP($A15,'21-22'!$B:$L,6,FALSE)-VLOOKUP($A15,'21-22'!$B:$L,7,FALSE))/VLOOKUP($A15,'21-22'!$B:$L,2,FALSE),"")</f>
        <v>7.8947368421052627E-2</v>
      </c>
      <c r="C15" s="2">
        <f>IFERROR((VLOOKUP($A15,'22-23 First 5'!$B:$L,6,FALSE)-VLOOKUP($A15,'22-23 First 5'!$B:$L,7,FALSE))/VLOOKUP($A15,'22-23 First 5'!$B:$L,2,FALSE),"")</f>
        <v>-1</v>
      </c>
      <c r="D15" s="2">
        <f>IFERROR((VLOOKUP($A15,'22-23 First 10'!$B:$L,6,FALSE)-VLOOKUP($A15,'22-23 First 10'!$B:$L,7,FALSE))/VLOOKUP($A15,'22-23 First 10'!$B:$L,2,FALSE),"")</f>
        <v>-0.9</v>
      </c>
      <c r="E15" s="2">
        <f>IFERROR((VLOOKUP($A15,'22-23 First 15'!$B:$L,6,FALSE)-VLOOKUP($A15,'22-23 First 15'!$B:$L,7,FALSE))/VLOOKUP($A15,'22-23 First 15'!$B:$L,2,FALSE),"")</f>
        <v>0</v>
      </c>
      <c r="F15" s="2">
        <f>IFERROR((VLOOKUP($A15,'22-23 First 20'!$B:$L,6,FALSE)-VLOOKUP($A15,'22-23 First 20'!$B:$L,7,FALSE))/VLOOKUP($A15,'22-23 First 20'!$B:$L,2,FALSE),"")</f>
        <v>-0.35</v>
      </c>
      <c r="G15" s="3">
        <v>18</v>
      </c>
      <c r="H15" s="3">
        <f t="shared" si="0"/>
        <v>8</v>
      </c>
      <c r="I15" s="3">
        <f t="shared" si="1"/>
        <v>17</v>
      </c>
      <c r="J15" s="3">
        <f t="shared" si="2"/>
        <v>17</v>
      </c>
      <c r="K15" s="3">
        <f t="shared" si="3"/>
        <v>9</v>
      </c>
      <c r="L15" s="3">
        <f t="shared" si="4"/>
        <v>12</v>
      </c>
      <c r="M15" s="3">
        <f t="shared" si="5"/>
        <v>10</v>
      </c>
      <c r="N15" s="3">
        <f t="shared" si="6"/>
        <v>1</v>
      </c>
      <c r="O15" s="3">
        <f t="shared" si="7"/>
        <v>1</v>
      </c>
      <c r="P15" s="3">
        <f t="shared" si="8"/>
        <v>9</v>
      </c>
      <c r="Q15" s="3">
        <f t="shared" si="9"/>
        <v>6</v>
      </c>
      <c r="R15" s="3">
        <f t="shared" si="10"/>
        <v>100</v>
      </c>
      <c r="S15" s="3">
        <f t="shared" si="11"/>
        <v>1</v>
      </c>
      <c r="T15" s="3">
        <f t="shared" si="12"/>
        <v>1</v>
      </c>
      <c r="U15" s="3">
        <f t="shared" si="13"/>
        <v>81</v>
      </c>
      <c r="V15" s="3">
        <f t="shared" si="14"/>
        <v>36</v>
      </c>
    </row>
    <row r="16" spans="1:28" x14ac:dyDescent="0.25">
      <c r="A16" t="s">
        <v>26</v>
      </c>
      <c r="B16" s="2">
        <f>IFERROR((VLOOKUP($A16,'21-22'!$B:$L,6,FALSE)-VLOOKUP($A16,'21-22'!$B:$L,7,FALSE))/VLOOKUP($A16,'21-22'!$B:$L,2,FALSE),"")</f>
        <v>-0.97368421052631582</v>
      </c>
      <c r="C16" s="2">
        <f>IFERROR((VLOOKUP($A16,'22-23 First 5'!$B:$L,6,FALSE)-VLOOKUP($A16,'22-23 First 5'!$B:$L,7,FALSE))/VLOOKUP($A16,'22-23 First 5'!$B:$L,2,FALSE),"")</f>
        <v>0.6</v>
      </c>
      <c r="D16" s="2">
        <f>IFERROR((VLOOKUP($A16,'22-23 First 10'!$B:$L,6,FALSE)-VLOOKUP($A16,'22-23 First 10'!$B:$L,7,FALSE))/VLOOKUP($A16,'22-23 First 10'!$B:$L,2,FALSE),"")</f>
        <v>-0.4</v>
      </c>
      <c r="E16" s="2">
        <f>IFERROR((VLOOKUP($A16,'22-23 First 15'!$B:$L,6,FALSE)-VLOOKUP($A16,'22-23 First 15'!$B:$L,7,FALSE))/VLOOKUP($A16,'22-23 First 15'!$B:$L,2,FALSE),"")</f>
        <v>-0.4</v>
      </c>
      <c r="F16" s="2">
        <f>IFERROR((VLOOKUP($A16,'22-23 First 20'!$B:$L,6,FALSE)-VLOOKUP($A16,'22-23 First 20'!$B:$L,7,FALSE))/VLOOKUP($A16,'22-23 First 20'!$B:$L,2,FALSE),"")</f>
        <v>-0.4</v>
      </c>
      <c r="G16" s="3">
        <v>19</v>
      </c>
      <c r="H16" s="3">
        <f t="shared" si="0"/>
        <v>17</v>
      </c>
      <c r="I16" s="3">
        <f t="shared" si="1"/>
        <v>5</v>
      </c>
      <c r="J16" s="3">
        <f t="shared" si="2"/>
        <v>13</v>
      </c>
      <c r="K16" s="3">
        <f t="shared" si="3"/>
        <v>13</v>
      </c>
      <c r="L16" s="3">
        <f t="shared" si="4"/>
        <v>13</v>
      </c>
      <c r="M16" s="3">
        <f t="shared" si="5"/>
        <v>2</v>
      </c>
      <c r="N16" s="3">
        <f t="shared" si="6"/>
        <v>14</v>
      </c>
      <c r="O16" s="3">
        <f t="shared" si="7"/>
        <v>6</v>
      </c>
      <c r="P16" s="3">
        <f t="shared" si="8"/>
        <v>6</v>
      </c>
      <c r="Q16" s="3">
        <f t="shared" si="9"/>
        <v>6</v>
      </c>
      <c r="R16" s="3">
        <f t="shared" si="10"/>
        <v>4</v>
      </c>
      <c r="S16" s="3">
        <f t="shared" si="11"/>
        <v>196</v>
      </c>
      <c r="T16" s="3">
        <f t="shared" si="12"/>
        <v>36</v>
      </c>
      <c r="U16" s="3">
        <f t="shared" si="13"/>
        <v>36</v>
      </c>
      <c r="V16" s="3">
        <f t="shared" si="14"/>
        <v>36</v>
      </c>
    </row>
    <row r="17" spans="1:22" x14ac:dyDescent="0.25">
      <c r="A17" t="s">
        <v>27</v>
      </c>
      <c r="B17" s="2">
        <f>IFERROR((VLOOKUP($A17,'21-22'!$B:$L,6,FALSE)-VLOOKUP($A17,'21-22'!$B:$L,7,FALSE))/VLOOKUP($A17,'21-22'!$B:$L,2,FALSE),"")</f>
        <v>0.23684210526315788</v>
      </c>
      <c r="C17" s="2">
        <f>IFERROR((VLOOKUP($A17,'22-23 First 5'!$B:$L,6,FALSE)-VLOOKUP($A17,'22-23 First 5'!$B:$L,7,FALSE))/VLOOKUP($A17,'22-23 First 5'!$B:$L,2,FALSE),"")</f>
        <v>-0.8</v>
      </c>
      <c r="D17" s="2">
        <f>IFERROR((VLOOKUP($A17,'22-23 First 10'!$B:$L,6,FALSE)-VLOOKUP($A17,'22-23 First 10'!$B:$L,7,FALSE))/VLOOKUP($A17,'22-23 First 10'!$B:$L,2,FALSE),"")</f>
        <v>-0.2</v>
      </c>
      <c r="E17" s="2">
        <f>IFERROR((VLOOKUP($A17,'22-23 First 15'!$B:$L,6,FALSE)-VLOOKUP($A17,'22-23 First 15'!$B:$L,7,FALSE))/VLOOKUP($A17,'22-23 First 15'!$B:$L,2,FALSE),"")</f>
        <v>-0.33333333333333331</v>
      </c>
      <c r="F17" s="2">
        <f>IFERROR((VLOOKUP($A17,'22-23 First 20'!$B:$L,6,FALSE)-VLOOKUP($A17,'22-23 First 20'!$B:$L,7,FALSE))/VLOOKUP($A17,'22-23 First 20'!$B:$L,2,FALSE),"")</f>
        <v>-0.4</v>
      </c>
      <c r="G17" s="3">
        <v>14</v>
      </c>
      <c r="H17" s="3">
        <f t="shared" si="0"/>
        <v>6</v>
      </c>
      <c r="I17" s="3">
        <f t="shared" si="1"/>
        <v>16</v>
      </c>
      <c r="J17" s="3">
        <f t="shared" si="2"/>
        <v>11</v>
      </c>
      <c r="K17" s="3">
        <f t="shared" si="3"/>
        <v>12</v>
      </c>
      <c r="L17" s="3">
        <f t="shared" si="4"/>
        <v>13</v>
      </c>
      <c r="M17" s="3">
        <f t="shared" si="5"/>
        <v>8</v>
      </c>
      <c r="N17" s="3">
        <f t="shared" si="6"/>
        <v>2</v>
      </c>
      <c r="O17" s="3">
        <f t="shared" si="7"/>
        <v>3</v>
      </c>
      <c r="P17" s="3">
        <f t="shared" si="8"/>
        <v>2</v>
      </c>
      <c r="Q17" s="3">
        <f t="shared" si="9"/>
        <v>1</v>
      </c>
      <c r="R17" s="3">
        <f t="shared" si="10"/>
        <v>64</v>
      </c>
      <c r="S17" s="3">
        <f t="shared" si="11"/>
        <v>4</v>
      </c>
      <c r="T17" s="3">
        <f t="shared" si="12"/>
        <v>9</v>
      </c>
      <c r="U17" s="3">
        <f t="shared" si="13"/>
        <v>4</v>
      </c>
      <c r="V17" s="3">
        <f t="shared" si="14"/>
        <v>1</v>
      </c>
    </row>
    <row r="18" spans="1:22" x14ac:dyDescent="0.25">
      <c r="A18" t="s">
        <v>28</v>
      </c>
      <c r="B18" s="2">
        <f>IFERROR((VLOOKUP($A18,'21-22'!$B:$L,6,FALSE)-VLOOKUP($A18,'21-22'!$B:$L,7,FALSE))/VLOOKUP($A18,'21-22'!$B:$L,2,FALSE),"")</f>
        <v>-0.13157894736842105</v>
      </c>
      <c r="C18" s="2">
        <f>IFERROR((VLOOKUP($A18,'22-23 First 5'!$B:$L,6,FALSE)-VLOOKUP($A18,'22-23 First 5'!$B:$L,7,FALSE))/VLOOKUP($A18,'22-23 First 5'!$B:$L,2,FALSE),"")</f>
        <v>-0.4</v>
      </c>
      <c r="D18" s="2">
        <f>IFERROR((VLOOKUP($A18,'22-23 First 10'!$B:$L,6,FALSE)-VLOOKUP($A18,'22-23 First 10'!$B:$L,7,FALSE))/VLOOKUP($A18,'22-23 First 10'!$B:$L,2,FALSE),"")</f>
        <v>-0.8</v>
      </c>
      <c r="E18" s="2">
        <f>IFERROR((VLOOKUP($A18,'22-23 First 15'!$B:$L,6,FALSE)-VLOOKUP($A18,'22-23 First 15'!$B:$L,7,FALSE))/VLOOKUP($A18,'22-23 First 15'!$B:$L,2,FALSE),"")</f>
        <v>-1.0666666666666667</v>
      </c>
      <c r="F18" s="2">
        <f>IFERROR((VLOOKUP($A18,'22-23 First 20'!$B:$L,6,FALSE)-VLOOKUP($A18,'22-23 First 20'!$B:$L,7,FALSE))/VLOOKUP($A18,'22-23 First 20'!$B:$L,2,FALSE),"")</f>
        <v>-0.9</v>
      </c>
      <c r="G18" s="3">
        <v>13</v>
      </c>
      <c r="H18" s="3">
        <f t="shared" si="0"/>
        <v>12</v>
      </c>
      <c r="I18" s="3">
        <f t="shared" si="1"/>
        <v>10</v>
      </c>
      <c r="J18" s="3">
        <f t="shared" si="2"/>
        <v>16</v>
      </c>
      <c r="K18" s="3">
        <f t="shared" si="3"/>
        <v>19</v>
      </c>
      <c r="L18" s="3">
        <f t="shared" si="4"/>
        <v>17</v>
      </c>
      <c r="M18" s="3">
        <f t="shared" si="5"/>
        <v>1</v>
      </c>
      <c r="N18" s="3">
        <f t="shared" si="6"/>
        <v>3</v>
      </c>
      <c r="O18" s="3">
        <f t="shared" si="7"/>
        <v>3</v>
      </c>
      <c r="P18" s="3">
        <f t="shared" si="8"/>
        <v>6</v>
      </c>
      <c r="Q18" s="3">
        <f t="shared" si="9"/>
        <v>4</v>
      </c>
      <c r="R18" s="3">
        <f t="shared" si="10"/>
        <v>1</v>
      </c>
      <c r="S18" s="3">
        <f t="shared" si="11"/>
        <v>9</v>
      </c>
      <c r="T18" s="3">
        <f t="shared" si="12"/>
        <v>9</v>
      </c>
      <c r="U18" s="3">
        <f t="shared" si="13"/>
        <v>36</v>
      </c>
      <c r="V18" s="3">
        <f t="shared" si="14"/>
        <v>16</v>
      </c>
    </row>
    <row r="19" spans="1:22" x14ac:dyDescent="0.25">
      <c r="A19" s="5" t="s">
        <v>29</v>
      </c>
      <c r="B19" s="6" t="str">
        <f>IFERROR((VLOOKUP($A19,'21-22'!$B:$L,6,FALSE)-VLOOKUP($A19,'21-22'!$B:$L,7,FALSE))/VLOOKUP($A19,'21-22'!$B:$L,2,FALSE),"")</f>
        <v/>
      </c>
      <c r="C19" s="6">
        <f>IFERROR((VLOOKUP($A19,'22-23 First 5'!$B:$L,6,FALSE)-VLOOKUP($A19,'22-23 First 5'!$B:$L,7,FALSE))/VLOOKUP($A19,'22-23 First 5'!$B:$L,2,FALSE),"")</f>
        <v>-2.8</v>
      </c>
      <c r="D19" s="6">
        <f>IFERROR((VLOOKUP($A19,'22-23 First 10'!$B:$L,6,FALSE)-VLOOKUP($A19,'22-23 First 10'!$B:$L,7,FALSE))/VLOOKUP($A19,'22-23 First 10'!$B:$L,2,FALSE),"")</f>
        <v>-1.2</v>
      </c>
      <c r="E19" s="6">
        <f>IFERROR((VLOOKUP($A19,'22-23 First 15'!$B:$L,6,FALSE)-VLOOKUP($A19,'22-23 First 15'!$B:$L,7,FALSE))/VLOOKUP($A19,'22-23 First 15'!$B:$L,2,FALSE),"")</f>
        <v>-0.93333333333333335</v>
      </c>
      <c r="F19" s="6">
        <f>IFERROR((VLOOKUP($A19,'22-23 First 20'!$B:$L,6,FALSE)-VLOOKUP($A19,'22-23 First 20'!$B:$L,7,FALSE))/VLOOKUP($A19,'22-23 First 20'!$B:$L,2,FALSE),"")</f>
        <v>-1.1499999999999999</v>
      </c>
      <c r="G19" s="7">
        <v>15</v>
      </c>
      <c r="H19" s="3" t="str">
        <f t="shared" si="0"/>
        <v/>
      </c>
      <c r="I19" s="3">
        <f t="shared" si="1"/>
        <v>20</v>
      </c>
      <c r="J19" s="3">
        <f t="shared" si="2"/>
        <v>19</v>
      </c>
      <c r="K19" s="3">
        <f t="shared" si="3"/>
        <v>17</v>
      </c>
      <c r="L19" s="3">
        <f t="shared" si="4"/>
        <v>20</v>
      </c>
      <c r="M19" s="3" t="str">
        <f t="shared" si="5"/>
        <v/>
      </c>
      <c r="N19" s="3">
        <f t="shared" si="6"/>
        <v>5</v>
      </c>
      <c r="O19" s="3">
        <f t="shared" si="7"/>
        <v>4</v>
      </c>
      <c r="P19" s="3">
        <f t="shared" si="8"/>
        <v>2</v>
      </c>
      <c r="Q19" s="3">
        <f t="shared" si="9"/>
        <v>5</v>
      </c>
      <c r="R19" s="3" t="str">
        <f t="shared" si="10"/>
        <v/>
      </c>
      <c r="S19" s="3">
        <f t="shared" si="11"/>
        <v>25</v>
      </c>
      <c r="T19" s="3">
        <f t="shared" si="12"/>
        <v>16</v>
      </c>
      <c r="U19" s="3">
        <f t="shared" si="13"/>
        <v>4</v>
      </c>
      <c r="V19" s="3">
        <f t="shared" si="14"/>
        <v>25</v>
      </c>
    </row>
    <row r="20" spans="1:22" x14ac:dyDescent="0.25">
      <c r="A20" s="8" t="s">
        <v>30</v>
      </c>
      <c r="B20" s="9">
        <f>IFERROR((VLOOKUP($A20,'21-22'!$B:$L,6,FALSE)-VLOOKUP($A20,'21-22'!$B:$L,7,FALSE))/VLOOKUP($A20,'21-22'!$B:$L,2,FALSE),"")</f>
        <v>-0.60526315789473684</v>
      </c>
      <c r="C20" s="9">
        <f>IFERROR((VLOOKUP($A20,'22-23 First 5'!$B:$L,6,FALSE)-VLOOKUP($A20,'22-23 First 5'!$B:$L,7,FALSE))/VLOOKUP($A20,'22-23 First 5'!$B:$L,2,FALSE),"")</f>
        <v>-0.4</v>
      </c>
      <c r="D20" s="9">
        <f>IFERROR((VLOOKUP($A20,'22-23 First 10'!$B:$L,6,FALSE)-VLOOKUP($A20,'22-23 First 10'!$B:$L,7,FALSE))/VLOOKUP($A20,'22-23 First 10'!$B:$L,2,FALSE),"")</f>
        <v>-0.3</v>
      </c>
      <c r="E20" s="9">
        <f>IFERROR((VLOOKUP($A20,'22-23 First 15'!$B:$L,6,FALSE)-VLOOKUP($A20,'22-23 First 15'!$B:$L,7,FALSE))/VLOOKUP($A20,'22-23 First 15'!$B:$L,2,FALSE),"")</f>
        <v>-0.4</v>
      </c>
      <c r="F20" s="9">
        <f>IFERROR((VLOOKUP($A20,'22-23 First 20'!$B:$L,6,FALSE)-VLOOKUP($A20,'22-23 First 20'!$B:$L,7,FALSE))/VLOOKUP($A20,'22-23 First 20'!$B:$L,2,FALSE),"")</f>
        <v>-0.65</v>
      </c>
      <c r="G20" s="7">
        <v>17</v>
      </c>
      <c r="H20" s="3">
        <f t="shared" si="0"/>
        <v>15</v>
      </c>
      <c r="I20" s="3">
        <f t="shared" si="1"/>
        <v>10</v>
      </c>
      <c r="J20" s="3">
        <f t="shared" si="2"/>
        <v>12</v>
      </c>
      <c r="K20" s="3">
        <f t="shared" si="3"/>
        <v>13</v>
      </c>
      <c r="L20" s="3">
        <f t="shared" si="4"/>
        <v>16</v>
      </c>
      <c r="M20" s="3">
        <f t="shared" si="5"/>
        <v>2</v>
      </c>
      <c r="N20" s="3">
        <f t="shared" si="6"/>
        <v>7</v>
      </c>
      <c r="O20" s="3">
        <f t="shared" si="7"/>
        <v>5</v>
      </c>
      <c r="P20" s="3">
        <f t="shared" si="8"/>
        <v>4</v>
      </c>
      <c r="Q20" s="3">
        <f t="shared" si="9"/>
        <v>1</v>
      </c>
      <c r="R20" s="3">
        <f t="shared" si="10"/>
        <v>4</v>
      </c>
      <c r="S20" s="3">
        <f t="shared" si="11"/>
        <v>49</v>
      </c>
      <c r="T20" s="3">
        <f t="shared" si="12"/>
        <v>25</v>
      </c>
      <c r="U20" s="3">
        <f t="shared" si="13"/>
        <v>16</v>
      </c>
      <c r="V20" s="3">
        <f t="shared" si="14"/>
        <v>1</v>
      </c>
    </row>
    <row r="21" spans="1:22" x14ac:dyDescent="0.25">
      <c r="A21" s="8" t="s">
        <v>31</v>
      </c>
      <c r="B21" s="9">
        <f>IFERROR((VLOOKUP($A21,'21-22'!$B:$L,6,FALSE)-VLOOKUP($A21,'21-22'!$B:$L,7,FALSE))/VLOOKUP($A21,'21-22'!$B:$L,2,FALSE),"")</f>
        <v>-0.63157894736842102</v>
      </c>
      <c r="C21" s="9">
        <f>IFERROR((VLOOKUP($A21,'22-23 First 5'!$B:$L,6,FALSE)-VLOOKUP($A21,'22-23 First 5'!$B:$L,7,FALSE))/VLOOKUP($A21,'22-23 First 5'!$B:$L,2,FALSE),"")</f>
        <v>-0.4</v>
      </c>
      <c r="D21" s="9">
        <f>IFERROR((VLOOKUP($A21,'22-23 First 10'!$B:$L,6,FALSE)-VLOOKUP($A21,'22-23 First 10'!$B:$L,7,FALSE))/VLOOKUP($A21,'22-23 First 10'!$B:$L,2,FALSE),"")</f>
        <v>-0.9</v>
      </c>
      <c r="E21" s="9">
        <f>IFERROR((VLOOKUP($A21,'22-23 First 15'!$B:$L,6,FALSE)-VLOOKUP($A21,'22-23 First 15'!$B:$L,7,FALSE))/VLOOKUP($A21,'22-23 First 15'!$B:$L,2,FALSE),"")</f>
        <v>-0.93333333333333335</v>
      </c>
      <c r="F21" s="9">
        <f>IFERROR((VLOOKUP($A21,'22-23 First 20'!$B:$L,6,FALSE)-VLOOKUP($A21,'22-23 First 20'!$B:$L,7,FALSE))/VLOOKUP($A21,'22-23 First 20'!$B:$L,2,FALSE),"")</f>
        <v>-0.9</v>
      </c>
      <c r="G21" s="7">
        <v>20</v>
      </c>
      <c r="H21" s="3">
        <f t="shared" si="0"/>
        <v>16</v>
      </c>
      <c r="I21" s="3">
        <f t="shared" si="1"/>
        <v>10</v>
      </c>
      <c r="J21" s="3">
        <f t="shared" si="2"/>
        <v>17</v>
      </c>
      <c r="K21" s="3">
        <f t="shared" si="3"/>
        <v>17</v>
      </c>
      <c r="L21" s="3">
        <f t="shared" si="4"/>
        <v>17</v>
      </c>
      <c r="M21" s="3">
        <f t="shared" si="5"/>
        <v>4</v>
      </c>
      <c r="N21" s="3">
        <f t="shared" si="6"/>
        <v>10</v>
      </c>
      <c r="O21" s="3">
        <f t="shared" si="7"/>
        <v>3</v>
      </c>
      <c r="P21" s="3">
        <f t="shared" si="8"/>
        <v>3</v>
      </c>
      <c r="Q21" s="3">
        <f t="shared" si="9"/>
        <v>3</v>
      </c>
      <c r="R21" s="3">
        <f t="shared" si="10"/>
        <v>16</v>
      </c>
      <c r="S21" s="3">
        <f t="shared" si="11"/>
        <v>100</v>
      </c>
      <c r="T21" s="3">
        <f t="shared" si="12"/>
        <v>9</v>
      </c>
      <c r="U21" s="3">
        <f t="shared" si="13"/>
        <v>9</v>
      </c>
      <c r="V21" s="3">
        <f t="shared" si="14"/>
        <v>9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21-22</vt:lpstr>
      <vt:lpstr>22-23 First 5</vt:lpstr>
      <vt:lpstr>22-23 First 10</vt:lpstr>
      <vt:lpstr>22-23 First 15</vt:lpstr>
      <vt:lpstr>22-23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2026-04-27T18:49:11Z</dcterms:created>
  <dcterms:modified xsi:type="dcterms:W3CDTF">2026-04-27T19:23:15Z</dcterms:modified>
</cp:coreProperties>
</file>