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b80d026f62d86b2a/Desktop/Final Presentation/raw data/"/>
    </mc:Choice>
  </mc:AlternateContent>
  <xr:revisionPtr revIDLastSave="6" documentId="11_294A0DDF4DC5B8156804E85C36F64BD16B553359" xr6:coauthVersionLast="47" xr6:coauthVersionMax="47" xr10:uidLastSave="{6B77F83B-4B97-4CB2-B57C-EFF202261E83}"/>
  <bookViews>
    <workbookView xWindow="-110" yWindow="-110" windowWidth="25820" windowHeight="15500" activeTab="5" xr2:uid="{00000000-000D-0000-FFFF-FFFF00000000}"/>
  </bookViews>
  <sheets>
    <sheet name="17-18" sheetId="1" r:id="rId1"/>
    <sheet name="18-19 First 5" sheetId="2" r:id="rId2"/>
    <sheet name="18-19 First 10" sheetId="3" r:id="rId3"/>
    <sheet name="18-19 First 15" sheetId="4" r:id="rId4"/>
    <sheet name="18-19 First 20" sheetId="5" r:id="rId5"/>
    <sheet name="Sheet1" sheetId="6" r:id="rId6"/>
  </sheet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21" i="6" l="1"/>
  <c r="E21" i="6"/>
  <c r="D21" i="6"/>
  <c r="C21" i="6"/>
  <c r="B21" i="6"/>
  <c r="F20" i="6"/>
  <c r="E20" i="6"/>
  <c r="D20" i="6"/>
  <c r="C20" i="6"/>
  <c r="B20" i="6"/>
  <c r="F19" i="6"/>
  <c r="E19" i="6"/>
  <c r="D19" i="6"/>
  <c r="C19" i="6"/>
  <c r="B19" i="6"/>
  <c r="F18" i="6"/>
  <c r="E18" i="6"/>
  <c r="D18" i="6"/>
  <c r="C18" i="6"/>
  <c r="B18" i="6"/>
  <c r="F17" i="6"/>
  <c r="E17" i="6"/>
  <c r="D17" i="6"/>
  <c r="C17" i="6"/>
  <c r="B17" i="6"/>
  <c r="F16" i="6"/>
  <c r="E16" i="6"/>
  <c r="D16" i="6"/>
  <c r="C16" i="6"/>
  <c r="B16" i="6"/>
  <c r="F15" i="6"/>
  <c r="E15" i="6"/>
  <c r="D15" i="6"/>
  <c r="C15" i="6"/>
  <c r="B15" i="6"/>
  <c r="F14" i="6"/>
  <c r="E14" i="6"/>
  <c r="D14" i="6"/>
  <c r="C14" i="6"/>
  <c r="B14" i="6"/>
  <c r="F13" i="6"/>
  <c r="E13" i="6"/>
  <c r="D13" i="6"/>
  <c r="C13" i="6"/>
  <c r="B13" i="6"/>
  <c r="F12" i="6"/>
  <c r="E12" i="6"/>
  <c r="D12" i="6"/>
  <c r="C12" i="6"/>
  <c r="B12" i="6"/>
  <c r="F11" i="6"/>
  <c r="E11" i="6"/>
  <c r="D11" i="6"/>
  <c r="C11" i="6"/>
  <c r="B11" i="6"/>
  <c r="F10" i="6"/>
  <c r="E10" i="6"/>
  <c r="D10" i="6"/>
  <c r="C10" i="6"/>
  <c r="B10" i="6"/>
  <c r="F9" i="6"/>
  <c r="E9" i="6"/>
  <c r="D9" i="6"/>
  <c r="C9" i="6"/>
  <c r="B9" i="6"/>
  <c r="F8" i="6"/>
  <c r="E8" i="6"/>
  <c r="D8" i="6"/>
  <c r="C8" i="6"/>
  <c r="B8" i="6"/>
  <c r="F7" i="6"/>
  <c r="E7" i="6"/>
  <c r="D7" i="6"/>
  <c r="C7" i="6"/>
  <c r="B7" i="6"/>
  <c r="F6" i="6"/>
  <c r="E6" i="6"/>
  <c r="D6" i="6"/>
  <c r="C6" i="6"/>
  <c r="B6" i="6"/>
  <c r="F5" i="6"/>
  <c r="E5" i="6"/>
  <c r="D5" i="6"/>
  <c r="C5" i="6"/>
  <c r="B5" i="6"/>
  <c r="F4" i="6"/>
  <c r="E4" i="6"/>
  <c r="D4" i="6"/>
  <c r="C4" i="6"/>
  <c r="B4" i="6"/>
  <c r="F3" i="6"/>
  <c r="E3" i="6"/>
  <c r="D3" i="6"/>
  <c r="C3" i="6"/>
  <c r="B3" i="6"/>
  <c r="F2" i="6"/>
  <c r="E2" i="6"/>
  <c r="D2" i="6"/>
  <c r="C2" i="6"/>
  <c r="B2" i="6"/>
  <c r="L5" i="6" l="1"/>
  <c r="Q5" i="6" s="1"/>
  <c r="V5" i="6" s="1"/>
  <c r="I10" i="6"/>
  <c r="N10" i="6" s="1"/>
  <c r="S10" i="6" s="1"/>
  <c r="K5" i="6"/>
  <c r="P5" i="6" s="1"/>
  <c r="U5" i="6" s="1"/>
  <c r="H5" i="6"/>
  <c r="M5" i="6" s="1"/>
  <c r="R5" i="6" s="1"/>
  <c r="I5" i="6"/>
  <c r="N5" i="6" s="1"/>
  <c r="S5" i="6" s="1"/>
  <c r="L4" i="6"/>
  <c r="Q4" i="6" s="1"/>
  <c r="V4" i="6" s="1"/>
  <c r="L21" i="6"/>
  <c r="Q21" i="6" s="1"/>
  <c r="V21" i="6" s="1"/>
  <c r="K21" i="6"/>
  <c r="P21" i="6" s="1"/>
  <c r="U21" i="6" s="1"/>
  <c r="J21" i="6"/>
  <c r="O21" i="6" s="1"/>
  <c r="T21" i="6" s="1"/>
  <c r="I21" i="6"/>
  <c r="N21" i="6" s="1"/>
  <c r="S21" i="6" s="1"/>
  <c r="H21" i="6"/>
  <c r="M21" i="6" s="1"/>
  <c r="R21" i="6" s="1"/>
  <c r="L20" i="6"/>
  <c r="Q20" i="6" s="1"/>
  <c r="V20" i="6" s="1"/>
  <c r="K20" i="6"/>
  <c r="P20" i="6" s="1"/>
  <c r="U20" i="6" s="1"/>
  <c r="J20" i="6"/>
  <c r="O20" i="6" s="1"/>
  <c r="T20" i="6" s="1"/>
  <c r="I18" i="6"/>
  <c r="N18" i="6" s="1"/>
  <c r="S18" i="6" s="1"/>
  <c r="I14" i="6"/>
  <c r="N14" i="6" s="1"/>
  <c r="S14" i="6" s="1"/>
  <c r="K17" i="6"/>
  <c r="P17" i="6" s="1"/>
  <c r="U17" i="6" s="1"/>
  <c r="J17" i="6"/>
  <c r="O17" i="6" s="1"/>
  <c r="T17" i="6" s="1"/>
  <c r="I17" i="6"/>
  <c r="N17" i="6" s="1"/>
  <c r="S17" i="6" s="1"/>
  <c r="H17" i="6"/>
  <c r="M17" i="6" s="1"/>
  <c r="R17" i="6" s="1"/>
  <c r="L16" i="6"/>
  <c r="Q16" i="6" s="1"/>
  <c r="V16" i="6" s="1"/>
  <c r="K16" i="6"/>
  <c r="P16" i="6" s="1"/>
  <c r="U16" i="6" s="1"/>
  <c r="J16" i="6"/>
  <c r="O16" i="6" s="1"/>
  <c r="T16" i="6" s="1"/>
  <c r="I16" i="6"/>
  <c r="N16" i="6" s="1"/>
  <c r="S16" i="6" s="1"/>
  <c r="H16" i="6"/>
  <c r="M16" i="6" s="1"/>
  <c r="R16" i="6" s="1"/>
  <c r="L15" i="6"/>
  <c r="Q15" i="6" s="1"/>
  <c r="V15" i="6" s="1"/>
  <c r="K15" i="6"/>
  <c r="P15" i="6" s="1"/>
  <c r="U15" i="6" s="1"/>
  <c r="J15" i="6"/>
  <c r="O15" i="6" s="1"/>
  <c r="T15" i="6" s="1"/>
  <c r="H15" i="6"/>
  <c r="M15" i="6" s="1"/>
  <c r="R15" i="6" s="1"/>
  <c r="K10" i="6"/>
  <c r="P10" i="6" s="1"/>
  <c r="U10" i="6" s="1"/>
  <c r="K13" i="6"/>
  <c r="P13" i="6" s="1"/>
  <c r="U13" i="6" s="1"/>
  <c r="J13" i="6"/>
  <c r="O13" i="6" s="1"/>
  <c r="T13" i="6" s="1"/>
  <c r="I13" i="6"/>
  <c r="N13" i="6" s="1"/>
  <c r="S13" i="6" s="1"/>
  <c r="H13" i="6"/>
  <c r="M13" i="6" s="1"/>
  <c r="R13" i="6" s="1"/>
  <c r="L12" i="6"/>
  <c r="Q12" i="6" s="1"/>
  <c r="V12" i="6" s="1"/>
  <c r="K12" i="6"/>
  <c r="P12" i="6" s="1"/>
  <c r="U12" i="6" s="1"/>
  <c r="J12" i="6"/>
  <c r="O12" i="6" s="1"/>
  <c r="I12" i="6"/>
  <c r="N12" i="6" s="1"/>
  <c r="S12" i="6" s="1"/>
  <c r="L11" i="6"/>
  <c r="Q11" i="6" s="1"/>
  <c r="V11" i="6" s="1"/>
  <c r="K4" i="6"/>
  <c r="P4" i="6" s="1"/>
  <c r="U4" i="6" s="1"/>
  <c r="I9" i="6"/>
  <c r="N9" i="6" s="1"/>
  <c r="H9" i="6"/>
  <c r="M9" i="6" s="1"/>
  <c r="L8" i="6"/>
  <c r="Q8" i="6" s="1"/>
  <c r="V8" i="6" s="1"/>
  <c r="K8" i="6"/>
  <c r="P8" i="6" s="1"/>
  <c r="U8" i="6" s="1"/>
  <c r="J8" i="6"/>
  <c r="O8" i="6" s="1"/>
  <c r="T8" i="6" s="1"/>
  <c r="I8" i="6"/>
  <c r="N8" i="6" s="1"/>
  <c r="S8" i="6" s="1"/>
  <c r="H8" i="6"/>
  <c r="M8" i="6" s="1"/>
  <c r="R8" i="6" s="1"/>
  <c r="L7" i="6"/>
  <c r="Q7" i="6" s="1"/>
  <c r="V7" i="6" s="1"/>
  <c r="K7" i="6"/>
  <c r="P7" i="6" s="1"/>
  <c r="U7" i="6" s="1"/>
  <c r="J7" i="6"/>
  <c r="O7" i="6" s="1"/>
  <c r="T7" i="6" s="1"/>
  <c r="I7" i="6"/>
  <c r="N7" i="6" s="1"/>
  <c r="S7" i="6" s="1"/>
  <c r="H7" i="6"/>
  <c r="M7" i="6" s="1"/>
  <c r="R7" i="6" s="1"/>
  <c r="H6" i="6"/>
  <c r="M6" i="6" s="1"/>
  <c r="R6" i="6" s="1"/>
  <c r="J4" i="6"/>
  <c r="O4" i="6" s="1"/>
  <c r="T4" i="6" s="1"/>
  <c r="I4" i="6"/>
  <c r="N4" i="6" s="1"/>
  <c r="S4" i="6" s="1"/>
  <c r="H4" i="6"/>
  <c r="M4" i="6" s="1"/>
  <c r="R4" i="6" s="1"/>
  <c r="L3" i="6"/>
  <c r="Q3" i="6" s="1"/>
  <c r="V3" i="6" s="1"/>
  <c r="K3" i="6"/>
  <c r="P3" i="6" s="1"/>
  <c r="U3" i="6" s="1"/>
  <c r="J3" i="6"/>
  <c r="O3" i="6" s="1"/>
  <c r="T3" i="6" s="1"/>
  <c r="I3" i="6"/>
  <c r="N3" i="6" s="1"/>
  <c r="S3" i="6" s="1"/>
  <c r="H3" i="6"/>
  <c r="M3" i="6" s="1"/>
  <c r="R3" i="6" s="1"/>
  <c r="L2" i="6"/>
  <c r="Q2" i="6" s="1"/>
  <c r="V2" i="6" s="1"/>
  <c r="K2" i="6"/>
  <c r="P2" i="6" s="1"/>
  <c r="U2" i="6" s="1"/>
  <c r="J2" i="6"/>
  <c r="O2" i="6" s="1"/>
  <c r="T2" i="6" s="1"/>
  <c r="I2" i="6"/>
  <c r="N2" i="6" s="1"/>
  <c r="S2" i="6" s="1"/>
  <c r="H2" i="6"/>
  <c r="M2" i="6" s="1"/>
  <c r="R2" i="6" s="1"/>
  <c r="L19" i="6"/>
  <c r="Q19" i="6" s="1"/>
  <c r="V19" i="6" s="1"/>
  <c r="H18" i="6"/>
  <c r="M18" i="6" s="1"/>
  <c r="R18" i="6" s="1"/>
  <c r="L14" i="6"/>
  <c r="Q14" i="6" s="1"/>
  <c r="V14" i="6" s="1"/>
  <c r="H11" i="6"/>
  <c r="M11" i="6" s="1"/>
  <c r="R11" i="6" s="1"/>
  <c r="J18" i="6"/>
  <c r="O18" i="6" s="1"/>
  <c r="T18" i="6" s="1"/>
  <c r="K11" i="6"/>
  <c r="P11" i="6" s="1"/>
  <c r="U11" i="6" s="1"/>
  <c r="H10" i="6"/>
  <c r="M10" i="6" s="1"/>
  <c r="R10" i="6" s="1"/>
  <c r="K19" i="6"/>
  <c r="P19" i="6" s="1"/>
  <c r="U19" i="6" s="1"/>
  <c r="L13" i="6"/>
  <c r="Q13" i="6" s="1"/>
  <c r="V13" i="6" s="1"/>
  <c r="J10" i="6"/>
  <c r="O10" i="6" s="1"/>
  <c r="T10" i="6" s="1"/>
  <c r="K18" i="6"/>
  <c r="P18" i="6" s="1"/>
  <c r="U18" i="6" s="1"/>
  <c r="H12" i="6"/>
  <c r="M12" i="6" s="1"/>
  <c r="R12" i="6" s="1"/>
  <c r="J19" i="6"/>
  <c r="O19" i="6" s="1"/>
  <c r="T19" i="6" s="1"/>
  <c r="I11" i="6"/>
  <c r="N11" i="6" s="1"/>
  <c r="S11" i="6" s="1"/>
  <c r="H19" i="6"/>
  <c r="M19" i="6" s="1"/>
  <c r="R19" i="6" s="1"/>
  <c r="I15" i="6"/>
  <c r="N15" i="6" s="1"/>
  <c r="S15" i="6" s="1"/>
  <c r="L10" i="6"/>
  <c r="Q10" i="6" s="1"/>
  <c r="V10" i="6" s="1"/>
  <c r="H20" i="6"/>
  <c r="M20" i="6" s="1"/>
  <c r="R20" i="6" s="1"/>
  <c r="K14" i="6"/>
  <c r="P14" i="6" s="1"/>
  <c r="U14" i="6" s="1"/>
  <c r="I19" i="6"/>
  <c r="N19" i="6" s="1"/>
  <c r="S19" i="6" s="1"/>
  <c r="J14" i="6"/>
  <c r="O14" i="6" s="1"/>
  <c r="T14" i="6" s="1"/>
  <c r="I6" i="6"/>
  <c r="N6" i="6" s="1"/>
  <c r="S6" i="6" s="1"/>
  <c r="L18" i="6"/>
  <c r="Q18" i="6" s="1"/>
  <c r="V18" i="6" s="1"/>
  <c r="L17" i="6"/>
  <c r="Q17" i="6" s="1"/>
  <c r="V17" i="6" s="1"/>
  <c r="H14" i="6"/>
  <c r="M14" i="6" s="1"/>
  <c r="R14" i="6" s="1"/>
  <c r="J9" i="6"/>
  <c r="O9" i="6" s="1"/>
  <c r="T9" i="6" s="1"/>
  <c r="I20" i="6"/>
  <c r="N20" i="6" s="1"/>
  <c r="S20" i="6" s="1"/>
  <c r="J11" i="6"/>
  <c r="O11" i="6" s="1"/>
  <c r="T11" i="6" s="1"/>
  <c r="L6" i="6"/>
  <c r="Q6" i="6" s="1"/>
  <c r="L9" i="6"/>
  <c r="Q9" i="6" s="1"/>
  <c r="V9" i="6" s="1"/>
  <c r="K9" i="6"/>
  <c r="P9" i="6" s="1"/>
  <c r="U9" i="6" s="1"/>
  <c r="K6" i="6"/>
  <c r="P6" i="6" s="1"/>
  <c r="J6" i="6"/>
  <c r="O6" i="6" s="1"/>
  <c r="T6" i="6" s="1"/>
  <c r="J5" i="6"/>
  <c r="O5" i="6" s="1"/>
  <c r="T5" i="6" s="1"/>
  <c r="T12" i="6" l="1"/>
  <c r="Z3" i="6" s="1"/>
  <c r="Y3" i="6"/>
  <c r="S9" i="6"/>
  <c r="Z2" i="6" s="1"/>
  <c r="Y2" i="6"/>
  <c r="R9" i="6"/>
  <c r="AA2" i="6"/>
  <c r="AA3" i="6"/>
  <c r="AA5" i="6"/>
  <c r="AA4" i="6"/>
  <c r="V6" i="6"/>
  <c r="Z5" i="6" s="1"/>
  <c r="Y5" i="6"/>
  <c r="U6" i="6"/>
  <c r="Z4" i="6" s="1"/>
  <c r="Y4" i="6"/>
  <c r="AB5" i="6" l="1"/>
  <c r="AB2" i="6"/>
  <c r="AB3" i="6"/>
  <c r="AB4" i="6"/>
</calcChain>
</file>

<file path=xl/sharedStrings.xml><?xml version="1.0" encoding="utf-8"?>
<sst xmlns="http://schemas.openxmlformats.org/spreadsheetml/2006/main" count="207" uniqueCount="59">
  <si>
    <t>number</t>
  </si>
  <si>
    <t>team</t>
  </si>
  <si>
    <t>matches</t>
  </si>
  <si>
    <t>wins</t>
  </si>
  <si>
    <t>draws</t>
  </si>
  <si>
    <t>loses</t>
  </si>
  <si>
    <t>goals</t>
  </si>
  <si>
    <t>ga</t>
  </si>
  <si>
    <t>points</t>
  </si>
  <si>
    <t>xG</t>
  </si>
  <si>
    <t>xGA</t>
  </si>
  <si>
    <t>xPTS</t>
  </si>
  <si>
    <t>Manchester City</t>
  </si>
  <si>
    <t>Manchester United</t>
  </si>
  <si>
    <t>Chelsea</t>
  </si>
  <si>
    <t>Liverpool</t>
  </si>
  <si>
    <t>Tottenham</t>
  </si>
  <si>
    <t>Arsenal</t>
  </si>
  <si>
    <t>Burnley</t>
  </si>
  <si>
    <t>Leicester</t>
  </si>
  <si>
    <t>Everton</t>
  </si>
  <si>
    <t>Watford</t>
  </si>
  <si>
    <t>Huddersfield</t>
  </si>
  <si>
    <t>Brighton</t>
  </si>
  <si>
    <t>Stoke</t>
  </si>
  <si>
    <t>Southampton</t>
  </si>
  <si>
    <t>Newcastle United</t>
  </si>
  <si>
    <t>Crystal Palace</t>
  </si>
  <si>
    <t>West Ham</t>
  </si>
  <si>
    <t>Bournemouth</t>
  </si>
  <si>
    <t>West Bromwich Albion</t>
  </si>
  <si>
    <t>Swansea</t>
  </si>
  <si>
    <t>Team</t>
  </si>
  <si>
    <t>17-18 GD/Game</t>
  </si>
  <si>
    <t>18-19 GD/Game 5</t>
  </si>
  <si>
    <t>18-19 GD/Game 10</t>
  </si>
  <si>
    <t>18-19 GD/Game 15</t>
  </si>
  <si>
    <t>18-19 GD/Game 20</t>
  </si>
  <si>
    <t>Final Rank</t>
  </si>
  <si>
    <t>Rank 17-18</t>
  </si>
  <si>
    <t>Rank 5</t>
  </si>
  <si>
    <t>Rank 10</t>
  </si>
  <si>
    <t>Rank 15</t>
  </si>
  <si>
    <t>Rank 20</t>
  </si>
  <si>
    <t>Error 17-18</t>
  </si>
  <si>
    <t>Error 5</t>
  </si>
  <si>
    <t>Error 10</t>
  </si>
  <si>
    <t>Error 15</t>
  </si>
  <si>
    <t>Error 20</t>
  </si>
  <si>
    <t>Sq Error 17-18</t>
  </si>
  <si>
    <t>Sq Error 5</t>
  </si>
  <si>
    <t>Sq Error 10</t>
  </si>
  <si>
    <t>Sq Error 15</t>
  </si>
  <si>
    <t>Sq Error 20</t>
  </si>
  <si>
    <t>Games</t>
  </si>
  <si>
    <t>Current MAE</t>
  </si>
  <si>
    <t>Current RMSE</t>
  </si>
  <si>
    <t>Last Season MAE</t>
  </si>
  <si>
    <t>Last Season RMSE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</si>
</sst>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0"/>
  </numFmts>
  <fonts count="2" x14ac:knownFonts="1">
    <font>
      <sz val="12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2" borderId="0" xfId="0" applyFill="1"/>
    <xf numFmtId="176" fontId="0" fillId="0" borderId="0" xfId="0" applyNumberFormat="1"/>
    <xf numFmtId="1" fontId="0" fillId="0" borderId="0" xfId="0" applyNumberFormat="1"/>
    <xf numFmtId="2" fontId="0" fillId="0" borderId="0" xfId="0" applyNumberFormat="1"/>
    <xf numFmtId="0" fontId="0" fillId="3" borderId="0" xfId="0" applyFill="1"/>
    <xf numFmtId="176" fontId="0" fillId="3" borderId="0" xfId="0" applyNumberFormat="1" applyFill="1"/>
    <xf numFmtId="1" fontId="0" fillId="3" borderId="0" xfId="0" applyNumberFormat="1" applyFill="1"/>
  </cellXfs>
  <cellStyles count="1">
    <cellStyle name="常规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Sheet1!$Y$1</c:f>
              <c:strCache>
                <c:ptCount val="1"/>
                <c:pt idx="0">
                  <c:v>Current MAE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Sheet1!$X$2:$X$5</c:f>
              <c:numCache>
                <c:formatCode>General</c:formatCode>
                <c:ptCount val="4"/>
                <c:pt idx="0">
                  <c:v>5</c:v>
                </c:pt>
                <c:pt idx="1">
                  <c:v>10</c:v>
                </c:pt>
                <c:pt idx="2">
                  <c:v>15</c:v>
                </c:pt>
                <c:pt idx="3">
                  <c:v>20</c:v>
                </c:pt>
              </c:numCache>
            </c:numRef>
          </c:xVal>
          <c:yVal>
            <c:numRef>
              <c:f>Sheet1!$Y$2:$Y$5</c:f>
              <c:numCache>
                <c:formatCode>0.00</c:formatCode>
                <c:ptCount val="4"/>
                <c:pt idx="0">
                  <c:v>6.4</c:v>
                </c:pt>
                <c:pt idx="1">
                  <c:v>5.8</c:v>
                </c:pt>
                <c:pt idx="2">
                  <c:v>5.15</c:v>
                </c:pt>
                <c:pt idx="3">
                  <c:v>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2E2-40BF-A514-0D9221E92748}"/>
            </c:ext>
          </c:extLst>
        </c:ser>
        <c:ser>
          <c:idx val="1"/>
          <c:order val="1"/>
          <c:tx>
            <c:strRef>
              <c:f>Sheet1!$Z$1</c:f>
              <c:strCache>
                <c:ptCount val="1"/>
                <c:pt idx="0">
                  <c:v>Current RMSE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Sheet1!$X$2:$X$5</c:f>
              <c:numCache>
                <c:formatCode>General</c:formatCode>
                <c:ptCount val="4"/>
                <c:pt idx="0">
                  <c:v>5</c:v>
                </c:pt>
                <c:pt idx="1">
                  <c:v>10</c:v>
                </c:pt>
                <c:pt idx="2">
                  <c:v>15</c:v>
                </c:pt>
                <c:pt idx="3">
                  <c:v>20</c:v>
                </c:pt>
              </c:numCache>
            </c:numRef>
          </c:xVal>
          <c:yVal>
            <c:numRef>
              <c:f>Sheet1!$Z$2:$Z$5</c:f>
              <c:numCache>
                <c:formatCode>0.00</c:formatCode>
                <c:ptCount val="4"/>
                <c:pt idx="0">
                  <c:v>7.6746335417399569</c:v>
                </c:pt>
                <c:pt idx="1">
                  <c:v>7.5365774725667087</c:v>
                </c:pt>
                <c:pt idx="2">
                  <c:v>7.338255923582933</c:v>
                </c:pt>
                <c:pt idx="3">
                  <c:v>7.758865896508329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2E2-40BF-A514-0D9221E92748}"/>
            </c:ext>
          </c:extLst>
        </c:ser>
        <c:ser>
          <c:idx val="2"/>
          <c:order val="2"/>
          <c:tx>
            <c:strRef>
              <c:f>Sheet1!$AA$1</c:f>
              <c:strCache>
                <c:ptCount val="1"/>
                <c:pt idx="0">
                  <c:v>Last Season MAE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Sheet1!$X$2:$X$5</c:f>
              <c:numCache>
                <c:formatCode>General</c:formatCode>
                <c:ptCount val="4"/>
                <c:pt idx="0">
                  <c:v>5</c:v>
                </c:pt>
                <c:pt idx="1">
                  <c:v>10</c:v>
                </c:pt>
                <c:pt idx="2">
                  <c:v>15</c:v>
                </c:pt>
                <c:pt idx="3">
                  <c:v>20</c:v>
                </c:pt>
              </c:numCache>
            </c:numRef>
          </c:xVal>
          <c:yVal>
            <c:numRef>
              <c:f>Sheet1!$AA$2:$AA$5</c:f>
              <c:numCache>
                <c:formatCode>0.00</c:formatCode>
                <c:ptCount val="4"/>
                <c:pt idx="0">
                  <c:v>4.75</c:v>
                </c:pt>
                <c:pt idx="1">
                  <c:v>4.75</c:v>
                </c:pt>
                <c:pt idx="2">
                  <c:v>4.75</c:v>
                </c:pt>
                <c:pt idx="3">
                  <c:v>4.75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12E2-40BF-A514-0D9221E92748}"/>
            </c:ext>
          </c:extLst>
        </c:ser>
        <c:ser>
          <c:idx val="3"/>
          <c:order val="3"/>
          <c:tx>
            <c:strRef>
              <c:f>Sheet1!$AB$1</c:f>
              <c:strCache>
                <c:ptCount val="1"/>
                <c:pt idx="0">
                  <c:v>Last Season RMSE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Sheet1!$X$2:$X$5</c:f>
              <c:numCache>
                <c:formatCode>General</c:formatCode>
                <c:ptCount val="4"/>
                <c:pt idx="0">
                  <c:v>5</c:v>
                </c:pt>
                <c:pt idx="1">
                  <c:v>10</c:v>
                </c:pt>
                <c:pt idx="2">
                  <c:v>15</c:v>
                </c:pt>
                <c:pt idx="3">
                  <c:v>20</c:v>
                </c:pt>
              </c:numCache>
            </c:numRef>
          </c:xVal>
          <c:yVal>
            <c:numRef>
              <c:f>Sheet1!$AB$2:$AB$5</c:f>
              <c:numCache>
                <c:formatCode>0.00</c:formatCode>
                <c:ptCount val="4"/>
                <c:pt idx="0">
                  <c:v>7.6452599694189605</c:v>
                </c:pt>
                <c:pt idx="1">
                  <c:v>7.6452599694189605</c:v>
                </c:pt>
                <c:pt idx="2">
                  <c:v>7.6452599694189605</c:v>
                </c:pt>
                <c:pt idx="3">
                  <c:v>7.6452599694189605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12E2-40BF-A514-0D9221E9274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44807040"/>
        <c:axId val="644818560"/>
      </c:scatterChart>
      <c:valAx>
        <c:axId val="644807040"/>
        <c:scaling>
          <c:orientation val="minMax"/>
          <c:min val="5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644818560"/>
        <c:crosses val="autoZero"/>
        <c:crossBetween val="midCat"/>
      </c:valAx>
      <c:valAx>
        <c:axId val="644818560"/>
        <c:scaling>
          <c:orientation val="minMax"/>
          <c:min val="4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64480704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22</xdr:col>
      <xdr:colOff>615950</xdr:colOff>
      <xdr:row>8</xdr:row>
      <xdr:rowOff>31756</xdr:rowOff>
    </xdr:from>
    <xdr:to>
      <xdr:col>26</xdr:col>
      <xdr:colOff>965200</xdr:colOff>
      <xdr:row>22</xdr:row>
      <xdr:rowOff>107956</xdr:rowOff>
    </xdr:to>
    <xdr:graphicFrame macro="">
      <xdr:nvGraphicFramePr>
        <xdr:cNvPr id="3" name="图表 2">
          <a:extLst>
            <a:ext uri="{FF2B5EF4-FFF2-40B4-BE49-F238E27FC236}">
              <a16:creationId xmlns:a16="http://schemas.microsoft.com/office/drawing/2014/main" id="{F7013122-83DC-A227-2727-168DFB73BF5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1"/>
  <sheetViews>
    <sheetView workbookViewId="0">
      <selection sqref="A1:L21"/>
    </sheetView>
  </sheetViews>
  <sheetFormatPr defaultColWidth="10.6640625" defaultRowHeight="15" x14ac:dyDescent="0.25"/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5">
      <c r="A2">
        <v>1</v>
      </c>
      <c r="B2" t="s">
        <v>12</v>
      </c>
      <c r="C2">
        <v>38</v>
      </c>
      <c r="D2">
        <v>32</v>
      </c>
      <c r="E2">
        <v>4</v>
      </c>
      <c r="F2">
        <v>2</v>
      </c>
      <c r="G2">
        <v>106</v>
      </c>
      <c r="H2">
        <v>27</v>
      </c>
      <c r="I2">
        <v>100</v>
      </c>
      <c r="J2">
        <v>91.43</v>
      </c>
      <c r="K2">
        <v>24.51</v>
      </c>
      <c r="L2">
        <v>91.09</v>
      </c>
    </row>
    <row r="3" spans="1:12" x14ac:dyDescent="0.25">
      <c r="A3">
        <v>2</v>
      </c>
      <c r="B3" t="s">
        <v>13</v>
      </c>
      <c r="C3">
        <v>38</v>
      </c>
      <c r="D3">
        <v>25</v>
      </c>
      <c r="E3">
        <v>6</v>
      </c>
      <c r="F3">
        <v>7</v>
      </c>
      <c r="G3">
        <v>68</v>
      </c>
      <c r="H3">
        <v>28</v>
      </c>
      <c r="I3">
        <v>81</v>
      </c>
      <c r="J3">
        <v>59.04</v>
      </c>
      <c r="K3">
        <v>43.54</v>
      </c>
      <c r="L3">
        <v>62.33</v>
      </c>
    </row>
    <row r="4" spans="1:12" x14ac:dyDescent="0.25">
      <c r="A4">
        <v>3</v>
      </c>
      <c r="B4" t="s">
        <v>16</v>
      </c>
      <c r="C4">
        <v>38</v>
      </c>
      <c r="D4">
        <v>23</v>
      </c>
      <c r="E4">
        <v>8</v>
      </c>
      <c r="F4">
        <v>7</v>
      </c>
      <c r="G4">
        <v>74</v>
      </c>
      <c r="H4">
        <v>36</v>
      </c>
      <c r="I4">
        <v>77</v>
      </c>
      <c r="J4">
        <v>68.91</v>
      </c>
      <c r="K4">
        <v>35.86</v>
      </c>
      <c r="L4">
        <v>76.02</v>
      </c>
    </row>
    <row r="5" spans="1:12" x14ac:dyDescent="0.25">
      <c r="A5">
        <v>4</v>
      </c>
      <c r="B5" t="s">
        <v>15</v>
      </c>
      <c r="C5">
        <v>38</v>
      </c>
      <c r="D5">
        <v>21</v>
      </c>
      <c r="E5">
        <v>12</v>
      </c>
      <c r="F5">
        <v>5</v>
      </c>
      <c r="G5">
        <v>84</v>
      </c>
      <c r="H5">
        <v>38</v>
      </c>
      <c r="I5">
        <v>75</v>
      </c>
      <c r="J5">
        <v>77.489999999999995</v>
      </c>
      <c r="K5">
        <v>35.75</v>
      </c>
      <c r="L5">
        <v>79.38</v>
      </c>
    </row>
    <row r="6" spans="1:12" x14ac:dyDescent="0.25">
      <c r="A6">
        <v>5</v>
      </c>
      <c r="B6" t="s">
        <v>14</v>
      </c>
      <c r="C6">
        <v>38</v>
      </c>
      <c r="D6">
        <v>21</v>
      </c>
      <c r="E6">
        <v>7</v>
      </c>
      <c r="F6">
        <v>10</v>
      </c>
      <c r="G6">
        <v>62</v>
      </c>
      <c r="H6">
        <v>38</v>
      </c>
      <c r="I6">
        <v>70</v>
      </c>
      <c r="J6">
        <v>59.16</v>
      </c>
      <c r="K6">
        <v>34.03</v>
      </c>
      <c r="L6">
        <v>68.459999999999994</v>
      </c>
    </row>
    <row r="7" spans="1:12" x14ac:dyDescent="0.25">
      <c r="A7">
        <v>6</v>
      </c>
      <c r="B7" t="s">
        <v>17</v>
      </c>
      <c r="C7">
        <v>38</v>
      </c>
      <c r="D7">
        <v>19</v>
      </c>
      <c r="E7">
        <v>6</v>
      </c>
      <c r="F7">
        <v>13</v>
      </c>
      <c r="G7">
        <v>74</v>
      </c>
      <c r="H7">
        <v>51</v>
      </c>
      <c r="I7">
        <v>63</v>
      </c>
      <c r="J7">
        <v>72.27</v>
      </c>
      <c r="K7">
        <v>48.75</v>
      </c>
      <c r="L7">
        <v>65.900000000000006</v>
      </c>
    </row>
    <row r="8" spans="1:12" x14ac:dyDescent="0.25">
      <c r="A8">
        <v>7</v>
      </c>
      <c r="B8" t="s">
        <v>18</v>
      </c>
      <c r="C8">
        <v>38</v>
      </c>
      <c r="D8">
        <v>14</v>
      </c>
      <c r="E8">
        <v>12</v>
      </c>
      <c r="F8">
        <v>12</v>
      </c>
      <c r="G8">
        <v>36</v>
      </c>
      <c r="H8">
        <v>39</v>
      </c>
      <c r="I8">
        <v>54</v>
      </c>
      <c r="J8">
        <v>32.770000000000003</v>
      </c>
      <c r="K8">
        <v>52.16</v>
      </c>
      <c r="L8">
        <v>41</v>
      </c>
    </row>
    <row r="9" spans="1:12" x14ac:dyDescent="0.25">
      <c r="A9">
        <v>8</v>
      </c>
      <c r="B9" t="s">
        <v>20</v>
      </c>
      <c r="C9">
        <v>38</v>
      </c>
      <c r="D9">
        <v>13</v>
      </c>
      <c r="E9">
        <v>10</v>
      </c>
      <c r="F9">
        <v>15</v>
      </c>
      <c r="G9">
        <v>44</v>
      </c>
      <c r="H9">
        <v>58</v>
      </c>
      <c r="I9">
        <v>49</v>
      </c>
      <c r="J9">
        <v>43.71</v>
      </c>
      <c r="K9">
        <v>55.5</v>
      </c>
      <c r="L9">
        <v>47</v>
      </c>
    </row>
    <row r="10" spans="1:12" x14ac:dyDescent="0.25">
      <c r="A10">
        <v>9</v>
      </c>
      <c r="B10" t="s">
        <v>19</v>
      </c>
      <c r="C10">
        <v>38</v>
      </c>
      <c r="D10">
        <v>12</v>
      </c>
      <c r="E10">
        <v>11</v>
      </c>
      <c r="F10">
        <v>15</v>
      </c>
      <c r="G10">
        <v>56</v>
      </c>
      <c r="H10">
        <v>60</v>
      </c>
      <c r="I10">
        <v>47</v>
      </c>
      <c r="J10">
        <v>50.29</v>
      </c>
      <c r="K10">
        <v>49.36</v>
      </c>
      <c r="L10">
        <v>55.85</v>
      </c>
    </row>
    <row r="11" spans="1:12" x14ac:dyDescent="0.25">
      <c r="A11">
        <v>10</v>
      </c>
      <c r="B11" t="s">
        <v>26</v>
      </c>
      <c r="C11">
        <v>38</v>
      </c>
      <c r="D11">
        <v>12</v>
      </c>
      <c r="E11">
        <v>8</v>
      </c>
      <c r="F11">
        <v>18</v>
      </c>
      <c r="G11">
        <v>39</v>
      </c>
      <c r="H11">
        <v>47</v>
      </c>
      <c r="I11">
        <v>44</v>
      </c>
      <c r="J11">
        <v>44.63</v>
      </c>
      <c r="K11">
        <v>52.47</v>
      </c>
      <c r="L11">
        <v>46.24</v>
      </c>
    </row>
    <row r="12" spans="1:12" x14ac:dyDescent="0.25">
      <c r="A12">
        <v>11</v>
      </c>
      <c r="B12" t="s">
        <v>27</v>
      </c>
      <c r="C12">
        <v>38</v>
      </c>
      <c r="D12">
        <v>11</v>
      </c>
      <c r="E12">
        <v>11</v>
      </c>
      <c r="F12">
        <v>16</v>
      </c>
      <c r="G12">
        <v>45</v>
      </c>
      <c r="H12">
        <v>55</v>
      </c>
      <c r="I12">
        <v>44</v>
      </c>
      <c r="J12">
        <v>56.75</v>
      </c>
      <c r="K12">
        <v>53.54</v>
      </c>
      <c r="L12">
        <v>58.03</v>
      </c>
    </row>
    <row r="13" spans="1:12" x14ac:dyDescent="0.25">
      <c r="A13">
        <v>12</v>
      </c>
      <c r="B13" t="s">
        <v>29</v>
      </c>
      <c r="C13">
        <v>38</v>
      </c>
      <c r="D13">
        <v>11</v>
      </c>
      <c r="E13">
        <v>11</v>
      </c>
      <c r="F13">
        <v>16</v>
      </c>
      <c r="G13">
        <v>45</v>
      </c>
      <c r="H13">
        <v>61</v>
      </c>
      <c r="I13">
        <v>44</v>
      </c>
      <c r="J13">
        <v>39.99</v>
      </c>
      <c r="K13">
        <v>64.930000000000007</v>
      </c>
      <c r="L13">
        <v>37.64</v>
      </c>
    </row>
    <row r="14" spans="1:12" x14ac:dyDescent="0.25">
      <c r="A14">
        <v>13</v>
      </c>
      <c r="B14" t="s">
        <v>28</v>
      </c>
      <c r="C14">
        <v>38</v>
      </c>
      <c r="D14">
        <v>10</v>
      </c>
      <c r="E14">
        <v>12</v>
      </c>
      <c r="F14">
        <v>16</v>
      </c>
      <c r="G14">
        <v>48</v>
      </c>
      <c r="H14">
        <v>68</v>
      </c>
      <c r="I14">
        <v>42</v>
      </c>
      <c r="J14">
        <v>36.799999999999997</v>
      </c>
      <c r="K14">
        <v>58.37</v>
      </c>
      <c r="L14">
        <v>39.26</v>
      </c>
    </row>
    <row r="15" spans="1:12" x14ac:dyDescent="0.25">
      <c r="A15">
        <v>14</v>
      </c>
      <c r="B15" t="s">
        <v>21</v>
      </c>
      <c r="C15">
        <v>38</v>
      </c>
      <c r="D15">
        <v>11</v>
      </c>
      <c r="E15">
        <v>8</v>
      </c>
      <c r="F15">
        <v>19</v>
      </c>
      <c r="G15">
        <v>44</v>
      </c>
      <c r="H15">
        <v>64</v>
      </c>
      <c r="I15">
        <v>41</v>
      </c>
      <c r="J15">
        <v>45.85</v>
      </c>
      <c r="K15">
        <v>53.98</v>
      </c>
      <c r="L15">
        <v>46.69</v>
      </c>
    </row>
    <row r="16" spans="1:12" x14ac:dyDescent="0.25">
      <c r="A16">
        <v>15</v>
      </c>
      <c r="B16" t="s">
        <v>23</v>
      </c>
      <c r="C16">
        <v>38</v>
      </c>
      <c r="D16">
        <v>9</v>
      </c>
      <c r="E16">
        <v>13</v>
      </c>
      <c r="F16">
        <v>16</v>
      </c>
      <c r="G16">
        <v>34</v>
      </c>
      <c r="H16">
        <v>54</v>
      </c>
      <c r="I16">
        <v>40</v>
      </c>
      <c r="J16">
        <v>37.21</v>
      </c>
      <c r="K16">
        <v>53.08</v>
      </c>
      <c r="L16">
        <v>40.85</v>
      </c>
    </row>
    <row r="17" spans="1:12" x14ac:dyDescent="0.25">
      <c r="A17">
        <v>16</v>
      </c>
      <c r="B17" t="s">
        <v>22</v>
      </c>
      <c r="C17">
        <v>38</v>
      </c>
      <c r="D17">
        <v>9</v>
      </c>
      <c r="E17">
        <v>10</v>
      </c>
      <c r="F17">
        <v>19</v>
      </c>
      <c r="G17">
        <v>28</v>
      </c>
      <c r="H17">
        <v>58</v>
      </c>
      <c r="I17">
        <v>37</v>
      </c>
      <c r="J17">
        <v>32.130000000000003</v>
      </c>
      <c r="K17">
        <v>53.22</v>
      </c>
      <c r="L17">
        <v>36.840000000000003</v>
      </c>
    </row>
    <row r="18" spans="1:12" x14ac:dyDescent="0.25">
      <c r="A18">
        <v>17</v>
      </c>
      <c r="B18" t="s">
        <v>25</v>
      </c>
      <c r="C18">
        <v>38</v>
      </c>
      <c r="D18">
        <v>7</v>
      </c>
      <c r="E18">
        <v>15</v>
      </c>
      <c r="F18">
        <v>16</v>
      </c>
      <c r="G18">
        <v>37</v>
      </c>
      <c r="H18">
        <v>56</v>
      </c>
      <c r="I18">
        <v>36</v>
      </c>
      <c r="J18">
        <v>41.88</v>
      </c>
      <c r="K18">
        <v>46.56</v>
      </c>
      <c r="L18">
        <v>48.72</v>
      </c>
    </row>
    <row r="19" spans="1:12" x14ac:dyDescent="0.25">
      <c r="A19">
        <v>18</v>
      </c>
      <c r="B19" t="s">
        <v>31</v>
      </c>
      <c r="C19">
        <v>38</v>
      </c>
      <c r="D19">
        <v>8</v>
      </c>
      <c r="E19">
        <v>9</v>
      </c>
      <c r="F19">
        <v>21</v>
      </c>
      <c r="G19">
        <v>28</v>
      </c>
      <c r="H19">
        <v>56</v>
      </c>
      <c r="I19">
        <v>33</v>
      </c>
      <c r="J19">
        <v>29.71</v>
      </c>
      <c r="K19">
        <v>61.83</v>
      </c>
      <c r="L19">
        <v>32.31</v>
      </c>
    </row>
    <row r="20" spans="1:12" x14ac:dyDescent="0.25">
      <c r="A20">
        <v>19</v>
      </c>
      <c r="B20" t="s">
        <v>24</v>
      </c>
      <c r="C20">
        <v>38</v>
      </c>
      <c r="D20">
        <v>7</v>
      </c>
      <c r="E20">
        <v>12</v>
      </c>
      <c r="F20">
        <v>19</v>
      </c>
      <c r="G20">
        <v>35</v>
      </c>
      <c r="H20">
        <v>68</v>
      </c>
      <c r="I20">
        <v>33</v>
      </c>
      <c r="J20">
        <v>36.75</v>
      </c>
      <c r="K20">
        <v>65.540000000000006</v>
      </c>
      <c r="L20">
        <v>36.17</v>
      </c>
    </row>
    <row r="21" spans="1:12" x14ac:dyDescent="0.25">
      <c r="A21">
        <v>20</v>
      </c>
      <c r="B21" t="s">
        <v>30</v>
      </c>
      <c r="C21">
        <v>38</v>
      </c>
      <c r="D21">
        <v>6</v>
      </c>
      <c r="E21">
        <v>13</v>
      </c>
      <c r="F21">
        <v>19</v>
      </c>
      <c r="G21">
        <v>31</v>
      </c>
      <c r="H21">
        <v>56</v>
      </c>
      <c r="I21">
        <v>31</v>
      </c>
      <c r="J21">
        <v>35.18</v>
      </c>
      <c r="K21">
        <v>48.99</v>
      </c>
      <c r="L21">
        <v>42.96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1"/>
  <sheetViews>
    <sheetView workbookViewId="0">
      <selection sqref="A1:L21"/>
    </sheetView>
  </sheetViews>
  <sheetFormatPr defaultColWidth="10.6640625" defaultRowHeight="15" x14ac:dyDescent="0.25"/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5">
      <c r="A2">
        <v>1</v>
      </c>
      <c r="B2" t="s">
        <v>12</v>
      </c>
      <c r="C2">
        <v>5</v>
      </c>
      <c r="D2">
        <v>4</v>
      </c>
      <c r="E2">
        <v>1</v>
      </c>
      <c r="F2">
        <v>0</v>
      </c>
      <c r="G2">
        <v>16</v>
      </c>
      <c r="H2">
        <v>2</v>
      </c>
      <c r="I2">
        <v>13</v>
      </c>
      <c r="J2">
        <v>11.92</v>
      </c>
      <c r="K2">
        <v>2.76</v>
      </c>
      <c r="L2">
        <v>12.62</v>
      </c>
    </row>
    <row r="3" spans="1:12" x14ac:dyDescent="0.25">
      <c r="A3">
        <v>2</v>
      </c>
      <c r="B3" t="s">
        <v>13</v>
      </c>
      <c r="C3">
        <v>5</v>
      </c>
      <c r="D3">
        <v>4</v>
      </c>
      <c r="E3">
        <v>1</v>
      </c>
      <c r="F3">
        <v>0</v>
      </c>
      <c r="G3">
        <v>16</v>
      </c>
      <c r="H3">
        <v>2</v>
      </c>
      <c r="I3">
        <v>13</v>
      </c>
      <c r="J3">
        <v>14.04</v>
      </c>
      <c r="K3">
        <v>4.16</v>
      </c>
      <c r="L3">
        <v>12.73</v>
      </c>
    </row>
    <row r="4" spans="1:12" x14ac:dyDescent="0.25">
      <c r="A4">
        <v>3</v>
      </c>
      <c r="B4" t="s">
        <v>14</v>
      </c>
      <c r="C4">
        <v>5</v>
      </c>
      <c r="D4">
        <v>3</v>
      </c>
      <c r="E4">
        <v>1</v>
      </c>
      <c r="F4">
        <v>1</v>
      </c>
      <c r="G4">
        <v>8</v>
      </c>
      <c r="H4">
        <v>5</v>
      </c>
      <c r="I4">
        <v>10</v>
      </c>
      <c r="J4">
        <v>5.16</v>
      </c>
      <c r="K4">
        <v>4.3899999999999997</v>
      </c>
      <c r="L4">
        <v>7.34</v>
      </c>
    </row>
    <row r="5" spans="1:12" x14ac:dyDescent="0.25">
      <c r="A5">
        <v>4</v>
      </c>
      <c r="B5" t="s">
        <v>26</v>
      </c>
      <c r="C5">
        <v>5</v>
      </c>
      <c r="D5">
        <v>3</v>
      </c>
      <c r="E5">
        <v>0</v>
      </c>
      <c r="F5">
        <v>2</v>
      </c>
      <c r="G5">
        <v>6</v>
      </c>
      <c r="H5">
        <v>4</v>
      </c>
      <c r="I5">
        <v>9</v>
      </c>
      <c r="J5">
        <v>8.06</v>
      </c>
      <c r="K5">
        <v>5.33</v>
      </c>
      <c r="L5">
        <v>8.7200000000000006</v>
      </c>
    </row>
    <row r="6" spans="1:12" x14ac:dyDescent="0.25">
      <c r="A6">
        <v>5</v>
      </c>
      <c r="B6" t="s">
        <v>16</v>
      </c>
      <c r="C6">
        <v>5</v>
      </c>
      <c r="D6">
        <v>2</v>
      </c>
      <c r="E6">
        <v>2</v>
      </c>
      <c r="F6">
        <v>1</v>
      </c>
      <c r="G6">
        <v>7</v>
      </c>
      <c r="H6">
        <v>3</v>
      </c>
      <c r="I6">
        <v>8</v>
      </c>
      <c r="J6">
        <v>8.77</v>
      </c>
      <c r="K6">
        <v>3.45</v>
      </c>
      <c r="L6">
        <v>10.64</v>
      </c>
    </row>
    <row r="7" spans="1:12" x14ac:dyDescent="0.25">
      <c r="A7">
        <v>6</v>
      </c>
      <c r="B7" t="s">
        <v>22</v>
      </c>
      <c r="C7">
        <v>5</v>
      </c>
      <c r="D7">
        <v>2</v>
      </c>
      <c r="E7">
        <v>2</v>
      </c>
      <c r="F7">
        <v>1</v>
      </c>
      <c r="G7">
        <v>5</v>
      </c>
      <c r="H7">
        <v>3</v>
      </c>
      <c r="I7">
        <v>8</v>
      </c>
      <c r="J7">
        <v>4.5599999999999996</v>
      </c>
      <c r="K7">
        <v>5.95</v>
      </c>
      <c r="L7">
        <v>5.56</v>
      </c>
    </row>
    <row r="8" spans="1:12" x14ac:dyDescent="0.25">
      <c r="A8">
        <v>7</v>
      </c>
      <c r="B8" t="s">
        <v>18</v>
      </c>
      <c r="C8">
        <v>5</v>
      </c>
      <c r="D8">
        <v>2</v>
      </c>
      <c r="E8">
        <v>2</v>
      </c>
      <c r="F8">
        <v>1</v>
      </c>
      <c r="G8">
        <v>6</v>
      </c>
      <c r="H8">
        <v>5</v>
      </c>
      <c r="I8">
        <v>8</v>
      </c>
      <c r="J8">
        <v>3.37</v>
      </c>
      <c r="K8">
        <v>8.2799999999999994</v>
      </c>
      <c r="L8">
        <v>3.55</v>
      </c>
    </row>
    <row r="9" spans="1:12" x14ac:dyDescent="0.25">
      <c r="A9">
        <v>8</v>
      </c>
      <c r="B9" t="s">
        <v>15</v>
      </c>
      <c r="C9">
        <v>5</v>
      </c>
      <c r="D9">
        <v>2</v>
      </c>
      <c r="E9">
        <v>2</v>
      </c>
      <c r="F9">
        <v>1</v>
      </c>
      <c r="G9">
        <v>9</v>
      </c>
      <c r="H9">
        <v>9</v>
      </c>
      <c r="I9">
        <v>8</v>
      </c>
      <c r="J9">
        <v>11.78</v>
      </c>
      <c r="K9">
        <v>6.87</v>
      </c>
      <c r="L9">
        <v>10.1</v>
      </c>
    </row>
    <row r="10" spans="1:12" x14ac:dyDescent="0.25">
      <c r="A10">
        <v>9</v>
      </c>
      <c r="B10" t="s">
        <v>25</v>
      </c>
      <c r="C10">
        <v>5</v>
      </c>
      <c r="D10">
        <v>2</v>
      </c>
      <c r="E10">
        <v>2</v>
      </c>
      <c r="F10">
        <v>1</v>
      </c>
      <c r="G10">
        <v>4</v>
      </c>
      <c r="H10">
        <v>4</v>
      </c>
      <c r="I10">
        <v>8</v>
      </c>
      <c r="J10">
        <v>6.6</v>
      </c>
      <c r="K10">
        <v>6.07</v>
      </c>
      <c r="L10">
        <v>6.97</v>
      </c>
    </row>
    <row r="11" spans="1:12" x14ac:dyDescent="0.25">
      <c r="A11">
        <v>10</v>
      </c>
      <c r="B11" t="s">
        <v>30</v>
      </c>
      <c r="C11">
        <v>5</v>
      </c>
      <c r="D11">
        <v>2</v>
      </c>
      <c r="E11">
        <v>2</v>
      </c>
      <c r="F11">
        <v>1</v>
      </c>
      <c r="G11">
        <v>4</v>
      </c>
      <c r="H11">
        <v>4</v>
      </c>
      <c r="I11">
        <v>8</v>
      </c>
      <c r="J11">
        <v>4.3600000000000003</v>
      </c>
      <c r="K11">
        <v>3.4</v>
      </c>
      <c r="L11">
        <v>7.74</v>
      </c>
    </row>
    <row r="12" spans="1:12" x14ac:dyDescent="0.25">
      <c r="A12">
        <v>11</v>
      </c>
      <c r="B12" t="s">
        <v>21</v>
      </c>
      <c r="C12">
        <v>5</v>
      </c>
      <c r="D12">
        <v>2</v>
      </c>
      <c r="E12">
        <v>2</v>
      </c>
      <c r="F12">
        <v>1</v>
      </c>
      <c r="G12">
        <v>7</v>
      </c>
      <c r="H12">
        <v>9</v>
      </c>
      <c r="I12">
        <v>8</v>
      </c>
      <c r="J12">
        <v>6.02</v>
      </c>
      <c r="K12">
        <v>8.66</v>
      </c>
      <c r="L12">
        <v>5.68</v>
      </c>
    </row>
    <row r="13" spans="1:12" x14ac:dyDescent="0.25">
      <c r="A13">
        <v>12</v>
      </c>
      <c r="B13" t="s">
        <v>17</v>
      </c>
      <c r="C13">
        <v>5</v>
      </c>
      <c r="D13">
        <v>2</v>
      </c>
      <c r="E13">
        <v>1</v>
      </c>
      <c r="F13">
        <v>2</v>
      </c>
      <c r="G13">
        <v>7</v>
      </c>
      <c r="H13">
        <v>8</v>
      </c>
      <c r="I13">
        <v>7</v>
      </c>
      <c r="J13">
        <v>8.34</v>
      </c>
      <c r="K13">
        <v>6.96</v>
      </c>
      <c r="L13">
        <v>8.7200000000000006</v>
      </c>
    </row>
    <row r="14" spans="1:12" x14ac:dyDescent="0.25">
      <c r="A14">
        <v>13</v>
      </c>
      <c r="B14" t="s">
        <v>24</v>
      </c>
      <c r="C14">
        <v>5</v>
      </c>
      <c r="D14">
        <v>1</v>
      </c>
      <c r="E14">
        <v>2</v>
      </c>
      <c r="F14">
        <v>2</v>
      </c>
      <c r="G14">
        <v>5</v>
      </c>
      <c r="H14">
        <v>6</v>
      </c>
      <c r="I14">
        <v>5</v>
      </c>
      <c r="J14">
        <v>4.13</v>
      </c>
      <c r="K14">
        <v>7.63</v>
      </c>
      <c r="L14">
        <v>4.28</v>
      </c>
    </row>
    <row r="15" spans="1:12" x14ac:dyDescent="0.25">
      <c r="A15">
        <v>14</v>
      </c>
      <c r="B15" t="s">
        <v>31</v>
      </c>
      <c r="C15">
        <v>5</v>
      </c>
      <c r="D15">
        <v>1</v>
      </c>
      <c r="E15">
        <v>2</v>
      </c>
      <c r="F15">
        <v>2</v>
      </c>
      <c r="G15">
        <v>2</v>
      </c>
      <c r="H15">
        <v>5</v>
      </c>
      <c r="I15">
        <v>5</v>
      </c>
      <c r="J15">
        <v>3.32</v>
      </c>
      <c r="K15">
        <v>8.66</v>
      </c>
      <c r="L15">
        <v>3.96</v>
      </c>
    </row>
    <row r="16" spans="1:12" x14ac:dyDescent="0.25">
      <c r="A16">
        <v>15</v>
      </c>
      <c r="B16" t="s">
        <v>19</v>
      </c>
      <c r="C16">
        <v>5</v>
      </c>
      <c r="D16">
        <v>1</v>
      </c>
      <c r="E16">
        <v>1</v>
      </c>
      <c r="F16">
        <v>3</v>
      </c>
      <c r="G16">
        <v>7</v>
      </c>
      <c r="H16">
        <v>9</v>
      </c>
      <c r="I16">
        <v>4</v>
      </c>
      <c r="J16">
        <v>6.61</v>
      </c>
      <c r="K16">
        <v>7.14</v>
      </c>
      <c r="L16">
        <v>7.21</v>
      </c>
    </row>
    <row r="17" spans="1:12" x14ac:dyDescent="0.25">
      <c r="A17">
        <v>16</v>
      </c>
      <c r="B17" t="s">
        <v>23</v>
      </c>
      <c r="C17">
        <v>5</v>
      </c>
      <c r="D17">
        <v>1</v>
      </c>
      <c r="E17">
        <v>1</v>
      </c>
      <c r="F17">
        <v>3</v>
      </c>
      <c r="G17">
        <v>4</v>
      </c>
      <c r="H17">
        <v>7</v>
      </c>
      <c r="I17">
        <v>4</v>
      </c>
      <c r="J17">
        <v>2.62</v>
      </c>
      <c r="K17">
        <v>6.29</v>
      </c>
      <c r="L17">
        <v>3.99</v>
      </c>
    </row>
    <row r="18" spans="1:12" x14ac:dyDescent="0.25">
      <c r="A18">
        <v>17</v>
      </c>
      <c r="B18" t="s">
        <v>28</v>
      </c>
      <c r="C18">
        <v>5</v>
      </c>
      <c r="D18">
        <v>1</v>
      </c>
      <c r="E18">
        <v>1</v>
      </c>
      <c r="F18">
        <v>3</v>
      </c>
      <c r="G18">
        <v>4</v>
      </c>
      <c r="H18">
        <v>10</v>
      </c>
      <c r="I18">
        <v>4</v>
      </c>
      <c r="J18">
        <v>4.93</v>
      </c>
      <c r="K18">
        <v>8.66</v>
      </c>
      <c r="L18">
        <v>4.7</v>
      </c>
    </row>
    <row r="19" spans="1:12" x14ac:dyDescent="0.25">
      <c r="A19">
        <v>18</v>
      </c>
      <c r="B19" t="s">
        <v>20</v>
      </c>
      <c r="C19">
        <v>5</v>
      </c>
      <c r="D19">
        <v>1</v>
      </c>
      <c r="E19">
        <v>1</v>
      </c>
      <c r="F19">
        <v>3</v>
      </c>
      <c r="G19">
        <v>2</v>
      </c>
      <c r="H19">
        <v>10</v>
      </c>
      <c r="I19">
        <v>4</v>
      </c>
      <c r="J19">
        <v>3.86</v>
      </c>
      <c r="K19">
        <v>8.0500000000000007</v>
      </c>
      <c r="L19">
        <v>4.1399999999999997</v>
      </c>
    </row>
    <row r="20" spans="1:12" x14ac:dyDescent="0.25">
      <c r="A20">
        <v>19</v>
      </c>
      <c r="B20" t="s">
        <v>29</v>
      </c>
      <c r="C20">
        <v>5</v>
      </c>
      <c r="D20">
        <v>1</v>
      </c>
      <c r="E20">
        <v>0</v>
      </c>
      <c r="F20">
        <v>4</v>
      </c>
      <c r="G20">
        <v>3</v>
      </c>
      <c r="H20">
        <v>9</v>
      </c>
      <c r="I20">
        <v>3</v>
      </c>
      <c r="J20">
        <v>3.53</v>
      </c>
      <c r="K20">
        <v>8.49</v>
      </c>
      <c r="L20">
        <v>3.49</v>
      </c>
    </row>
    <row r="21" spans="1:12" x14ac:dyDescent="0.25">
      <c r="A21">
        <v>20</v>
      </c>
      <c r="B21" t="s">
        <v>27</v>
      </c>
      <c r="C21">
        <v>5</v>
      </c>
      <c r="D21">
        <v>0</v>
      </c>
      <c r="E21">
        <v>0</v>
      </c>
      <c r="F21">
        <v>5</v>
      </c>
      <c r="G21">
        <v>0</v>
      </c>
      <c r="H21">
        <v>8</v>
      </c>
      <c r="I21">
        <v>0</v>
      </c>
      <c r="J21">
        <v>6.3</v>
      </c>
      <c r="K21">
        <v>7.1</v>
      </c>
      <c r="L21">
        <v>6.56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21"/>
  <sheetViews>
    <sheetView workbookViewId="0">
      <selection sqref="A1:L21"/>
    </sheetView>
  </sheetViews>
  <sheetFormatPr defaultColWidth="10.6640625" defaultRowHeight="15" x14ac:dyDescent="0.25"/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5">
      <c r="A2">
        <v>1</v>
      </c>
      <c r="B2" t="s">
        <v>12</v>
      </c>
      <c r="C2">
        <v>10</v>
      </c>
      <c r="D2">
        <v>9</v>
      </c>
      <c r="E2">
        <v>1</v>
      </c>
      <c r="F2">
        <v>0</v>
      </c>
      <c r="G2">
        <v>35</v>
      </c>
      <c r="H2">
        <v>6</v>
      </c>
      <c r="I2">
        <v>28</v>
      </c>
      <c r="J2">
        <v>29.81</v>
      </c>
      <c r="K2">
        <v>6.23</v>
      </c>
      <c r="L2">
        <v>25.68</v>
      </c>
    </row>
    <row r="3" spans="1:12" x14ac:dyDescent="0.25">
      <c r="A3">
        <v>2</v>
      </c>
      <c r="B3" t="s">
        <v>13</v>
      </c>
      <c r="C3">
        <v>10</v>
      </c>
      <c r="D3">
        <v>7</v>
      </c>
      <c r="E3">
        <v>2</v>
      </c>
      <c r="F3">
        <v>1</v>
      </c>
      <c r="G3">
        <v>23</v>
      </c>
      <c r="H3">
        <v>4</v>
      </c>
      <c r="I3">
        <v>23</v>
      </c>
      <c r="J3">
        <v>20.57</v>
      </c>
      <c r="K3">
        <v>9.49</v>
      </c>
      <c r="L3">
        <v>19.61</v>
      </c>
    </row>
    <row r="4" spans="1:12" x14ac:dyDescent="0.25">
      <c r="A4">
        <v>3</v>
      </c>
      <c r="B4" t="s">
        <v>16</v>
      </c>
      <c r="C4">
        <v>10</v>
      </c>
      <c r="D4">
        <v>6</v>
      </c>
      <c r="E4">
        <v>2</v>
      </c>
      <c r="F4">
        <v>2</v>
      </c>
      <c r="G4">
        <v>19</v>
      </c>
      <c r="H4">
        <v>7</v>
      </c>
      <c r="I4">
        <v>20</v>
      </c>
      <c r="J4">
        <v>17.45</v>
      </c>
      <c r="K4">
        <v>6.11</v>
      </c>
      <c r="L4">
        <v>21.97</v>
      </c>
    </row>
    <row r="5" spans="1:12" x14ac:dyDescent="0.25">
      <c r="A5">
        <v>4</v>
      </c>
      <c r="B5" t="s">
        <v>14</v>
      </c>
      <c r="C5">
        <v>10</v>
      </c>
      <c r="D5">
        <v>6</v>
      </c>
      <c r="E5">
        <v>1</v>
      </c>
      <c r="F5">
        <v>3</v>
      </c>
      <c r="G5">
        <v>18</v>
      </c>
      <c r="H5">
        <v>10</v>
      </c>
      <c r="I5">
        <v>19</v>
      </c>
      <c r="J5">
        <v>11.89</v>
      </c>
      <c r="K5">
        <v>9.99</v>
      </c>
      <c r="L5">
        <v>15.14</v>
      </c>
    </row>
    <row r="6" spans="1:12" x14ac:dyDescent="0.25">
      <c r="A6">
        <v>5</v>
      </c>
      <c r="B6" t="s">
        <v>17</v>
      </c>
      <c r="C6">
        <v>10</v>
      </c>
      <c r="D6">
        <v>6</v>
      </c>
      <c r="E6">
        <v>1</v>
      </c>
      <c r="F6">
        <v>3</v>
      </c>
      <c r="G6">
        <v>19</v>
      </c>
      <c r="H6">
        <v>13</v>
      </c>
      <c r="I6">
        <v>19</v>
      </c>
      <c r="J6">
        <v>20.440000000000001</v>
      </c>
      <c r="K6">
        <v>11.39</v>
      </c>
      <c r="L6">
        <v>20.07</v>
      </c>
    </row>
    <row r="7" spans="1:12" x14ac:dyDescent="0.25">
      <c r="A7">
        <v>6</v>
      </c>
      <c r="B7" t="s">
        <v>15</v>
      </c>
      <c r="C7">
        <v>10</v>
      </c>
      <c r="D7">
        <v>4</v>
      </c>
      <c r="E7">
        <v>4</v>
      </c>
      <c r="F7">
        <v>2</v>
      </c>
      <c r="G7">
        <v>17</v>
      </c>
      <c r="H7">
        <v>16</v>
      </c>
      <c r="I7">
        <v>16</v>
      </c>
      <c r="J7">
        <v>20.09</v>
      </c>
      <c r="K7">
        <v>12.94</v>
      </c>
      <c r="L7">
        <v>19.09</v>
      </c>
    </row>
    <row r="8" spans="1:12" x14ac:dyDescent="0.25">
      <c r="A8">
        <v>7</v>
      </c>
      <c r="B8" t="s">
        <v>18</v>
      </c>
      <c r="C8">
        <v>10</v>
      </c>
      <c r="D8">
        <v>4</v>
      </c>
      <c r="E8">
        <v>4</v>
      </c>
      <c r="F8">
        <v>2</v>
      </c>
      <c r="G8">
        <v>9</v>
      </c>
      <c r="H8">
        <v>9</v>
      </c>
      <c r="I8">
        <v>16</v>
      </c>
      <c r="J8">
        <v>6</v>
      </c>
      <c r="K8">
        <v>14.59</v>
      </c>
      <c r="L8">
        <v>8.69</v>
      </c>
    </row>
    <row r="9" spans="1:12" x14ac:dyDescent="0.25">
      <c r="A9">
        <v>8</v>
      </c>
      <c r="B9" t="s">
        <v>21</v>
      </c>
      <c r="C9">
        <v>10</v>
      </c>
      <c r="D9">
        <v>4</v>
      </c>
      <c r="E9">
        <v>3</v>
      </c>
      <c r="F9">
        <v>3</v>
      </c>
      <c r="G9">
        <v>15</v>
      </c>
      <c r="H9">
        <v>18</v>
      </c>
      <c r="I9">
        <v>15</v>
      </c>
      <c r="J9">
        <v>13.47</v>
      </c>
      <c r="K9">
        <v>15.66</v>
      </c>
      <c r="L9">
        <v>12.81</v>
      </c>
    </row>
    <row r="10" spans="1:12" x14ac:dyDescent="0.25">
      <c r="A10">
        <v>9</v>
      </c>
      <c r="B10" t="s">
        <v>26</v>
      </c>
      <c r="C10">
        <v>10</v>
      </c>
      <c r="D10">
        <v>4</v>
      </c>
      <c r="E10">
        <v>2</v>
      </c>
      <c r="F10">
        <v>4</v>
      </c>
      <c r="G10">
        <v>10</v>
      </c>
      <c r="H10">
        <v>9</v>
      </c>
      <c r="I10">
        <v>14</v>
      </c>
      <c r="J10">
        <v>11.45</v>
      </c>
      <c r="K10">
        <v>10.79</v>
      </c>
      <c r="L10">
        <v>13.64</v>
      </c>
    </row>
    <row r="11" spans="1:12" x14ac:dyDescent="0.25">
      <c r="A11">
        <v>10</v>
      </c>
      <c r="B11" t="s">
        <v>25</v>
      </c>
      <c r="C11">
        <v>10</v>
      </c>
      <c r="D11">
        <v>3</v>
      </c>
      <c r="E11">
        <v>4</v>
      </c>
      <c r="F11">
        <v>3</v>
      </c>
      <c r="G11">
        <v>9</v>
      </c>
      <c r="H11">
        <v>10</v>
      </c>
      <c r="I11">
        <v>13</v>
      </c>
      <c r="J11">
        <v>13.11</v>
      </c>
      <c r="K11">
        <v>12.78</v>
      </c>
      <c r="L11">
        <v>13.6</v>
      </c>
    </row>
    <row r="12" spans="1:12" x14ac:dyDescent="0.25">
      <c r="A12">
        <v>11</v>
      </c>
      <c r="B12" t="s">
        <v>19</v>
      </c>
      <c r="C12">
        <v>10</v>
      </c>
      <c r="D12">
        <v>3</v>
      </c>
      <c r="E12">
        <v>3</v>
      </c>
      <c r="F12">
        <v>4</v>
      </c>
      <c r="G12">
        <v>14</v>
      </c>
      <c r="H12">
        <v>14</v>
      </c>
      <c r="I12">
        <v>12</v>
      </c>
      <c r="J12">
        <v>14.23</v>
      </c>
      <c r="K12">
        <v>11.76</v>
      </c>
      <c r="L12">
        <v>16.68</v>
      </c>
    </row>
    <row r="13" spans="1:12" x14ac:dyDescent="0.25">
      <c r="A13">
        <v>12</v>
      </c>
      <c r="B13" t="s">
        <v>23</v>
      </c>
      <c r="C13">
        <v>10</v>
      </c>
      <c r="D13">
        <v>3</v>
      </c>
      <c r="E13">
        <v>3</v>
      </c>
      <c r="F13">
        <v>4</v>
      </c>
      <c r="G13">
        <v>10</v>
      </c>
      <c r="H13">
        <v>11</v>
      </c>
      <c r="I13">
        <v>12</v>
      </c>
      <c r="J13">
        <v>8.06</v>
      </c>
      <c r="K13">
        <v>12.71</v>
      </c>
      <c r="L13">
        <v>10.54</v>
      </c>
    </row>
    <row r="14" spans="1:12" x14ac:dyDescent="0.25">
      <c r="A14">
        <v>13</v>
      </c>
      <c r="B14" t="s">
        <v>22</v>
      </c>
      <c r="C14">
        <v>10</v>
      </c>
      <c r="D14">
        <v>3</v>
      </c>
      <c r="E14">
        <v>3</v>
      </c>
      <c r="F14">
        <v>4</v>
      </c>
      <c r="G14">
        <v>7</v>
      </c>
      <c r="H14">
        <v>13</v>
      </c>
      <c r="I14">
        <v>12</v>
      </c>
      <c r="J14">
        <v>6.99</v>
      </c>
      <c r="K14">
        <v>12.48</v>
      </c>
      <c r="L14">
        <v>9.2799999999999994</v>
      </c>
    </row>
    <row r="15" spans="1:12" x14ac:dyDescent="0.25">
      <c r="A15">
        <v>14</v>
      </c>
      <c r="B15" t="s">
        <v>24</v>
      </c>
      <c r="C15">
        <v>10</v>
      </c>
      <c r="D15">
        <v>3</v>
      </c>
      <c r="E15">
        <v>2</v>
      </c>
      <c r="F15">
        <v>5</v>
      </c>
      <c r="G15">
        <v>11</v>
      </c>
      <c r="H15">
        <v>20</v>
      </c>
      <c r="I15">
        <v>11</v>
      </c>
      <c r="J15">
        <v>10.47</v>
      </c>
      <c r="K15">
        <v>17.36</v>
      </c>
      <c r="L15">
        <v>9.9</v>
      </c>
    </row>
    <row r="16" spans="1:12" x14ac:dyDescent="0.25">
      <c r="A16">
        <v>15</v>
      </c>
      <c r="B16" t="s">
        <v>30</v>
      </c>
      <c r="C16">
        <v>10</v>
      </c>
      <c r="D16">
        <v>2</v>
      </c>
      <c r="E16">
        <v>4</v>
      </c>
      <c r="F16">
        <v>4</v>
      </c>
      <c r="G16">
        <v>9</v>
      </c>
      <c r="H16">
        <v>13</v>
      </c>
      <c r="I16">
        <v>10</v>
      </c>
      <c r="J16">
        <v>8.84</v>
      </c>
      <c r="K16">
        <v>13.17</v>
      </c>
      <c r="L16">
        <v>10.7</v>
      </c>
    </row>
    <row r="17" spans="1:12" x14ac:dyDescent="0.25">
      <c r="A17">
        <v>16</v>
      </c>
      <c r="B17" t="s">
        <v>28</v>
      </c>
      <c r="C17">
        <v>10</v>
      </c>
      <c r="D17">
        <v>2</v>
      </c>
      <c r="E17">
        <v>3</v>
      </c>
      <c r="F17">
        <v>5</v>
      </c>
      <c r="G17">
        <v>10</v>
      </c>
      <c r="H17">
        <v>19</v>
      </c>
      <c r="I17">
        <v>9</v>
      </c>
      <c r="J17">
        <v>8.4499999999999993</v>
      </c>
      <c r="K17">
        <v>15.9</v>
      </c>
      <c r="L17">
        <v>9.2100000000000009</v>
      </c>
    </row>
    <row r="18" spans="1:12" x14ac:dyDescent="0.25">
      <c r="A18">
        <v>17</v>
      </c>
      <c r="B18" t="s">
        <v>31</v>
      </c>
      <c r="C18">
        <v>10</v>
      </c>
      <c r="D18">
        <v>2</v>
      </c>
      <c r="E18">
        <v>2</v>
      </c>
      <c r="F18">
        <v>6</v>
      </c>
      <c r="G18">
        <v>7</v>
      </c>
      <c r="H18">
        <v>12</v>
      </c>
      <c r="I18">
        <v>8</v>
      </c>
      <c r="J18">
        <v>8.0500000000000007</v>
      </c>
      <c r="K18">
        <v>15.39</v>
      </c>
      <c r="L18">
        <v>9.42</v>
      </c>
    </row>
    <row r="19" spans="1:12" x14ac:dyDescent="0.25">
      <c r="A19">
        <v>18</v>
      </c>
      <c r="B19" t="s">
        <v>20</v>
      </c>
      <c r="C19">
        <v>10</v>
      </c>
      <c r="D19">
        <v>2</v>
      </c>
      <c r="E19">
        <v>2</v>
      </c>
      <c r="F19">
        <v>6</v>
      </c>
      <c r="G19">
        <v>7</v>
      </c>
      <c r="H19">
        <v>20</v>
      </c>
      <c r="I19">
        <v>8</v>
      </c>
      <c r="J19">
        <v>9.85</v>
      </c>
      <c r="K19">
        <v>15.11</v>
      </c>
      <c r="L19">
        <v>11.17</v>
      </c>
    </row>
    <row r="20" spans="1:12" x14ac:dyDescent="0.25">
      <c r="A20">
        <v>19</v>
      </c>
      <c r="B20" t="s">
        <v>29</v>
      </c>
      <c r="C20">
        <v>10</v>
      </c>
      <c r="D20">
        <v>2</v>
      </c>
      <c r="E20">
        <v>1</v>
      </c>
      <c r="F20">
        <v>7</v>
      </c>
      <c r="G20">
        <v>6</v>
      </c>
      <c r="H20">
        <v>14</v>
      </c>
      <c r="I20">
        <v>7</v>
      </c>
      <c r="J20">
        <v>7.07</v>
      </c>
      <c r="K20">
        <v>16.64</v>
      </c>
      <c r="L20">
        <v>7.21</v>
      </c>
    </row>
    <row r="21" spans="1:12" x14ac:dyDescent="0.25">
      <c r="A21">
        <v>20</v>
      </c>
      <c r="B21" t="s">
        <v>27</v>
      </c>
      <c r="C21">
        <v>10</v>
      </c>
      <c r="D21">
        <v>1</v>
      </c>
      <c r="E21">
        <v>1</v>
      </c>
      <c r="F21">
        <v>8</v>
      </c>
      <c r="G21">
        <v>4</v>
      </c>
      <c r="H21">
        <v>21</v>
      </c>
      <c r="I21">
        <v>4</v>
      </c>
      <c r="J21">
        <v>12.16</v>
      </c>
      <c r="K21">
        <v>17.96</v>
      </c>
      <c r="L21">
        <v>13.04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21"/>
  <sheetViews>
    <sheetView workbookViewId="0">
      <selection activeCell="M18" sqref="M18"/>
    </sheetView>
  </sheetViews>
  <sheetFormatPr defaultColWidth="10.6640625" defaultRowHeight="15" x14ac:dyDescent="0.25"/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5">
      <c r="A2">
        <v>1</v>
      </c>
      <c r="B2" t="s">
        <v>12</v>
      </c>
      <c r="C2">
        <v>15</v>
      </c>
      <c r="D2">
        <v>14</v>
      </c>
      <c r="E2">
        <v>1</v>
      </c>
      <c r="F2">
        <v>0</v>
      </c>
      <c r="G2">
        <v>46</v>
      </c>
      <c r="H2">
        <v>10</v>
      </c>
      <c r="I2">
        <v>43</v>
      </c>
      <c r="J2">
        <v>41.13</v>
      </c>
      <c r="K2">
        <v>9.39</v>
      </c>
      <c r="L2">
        <v>38.17</v>
      </c>
    </row>
    <row r="3" spans="1:12" x14ac:dyDescent="0.25">
      <c r="A3">
        <v>2</v>
      </c>
      <c r="B3" t="s">
        <v>13</v>
      </c>
      <c r="C3">
        <v>15</v>
      </c>
      <c r="D3">
        <v>11</v>
      </c>
      <c r="E3">
        <v>2</v>
      </c>
      <c r="F3">
        <v>2</v>
      </c>
      <c r="G3">
        <v>35</v>
      </c>
      <c r="H3">
        <v>9</v>
      </c>
      <c r="I3">
        <v>35</v>
      </c>
      <c r="J3">
        <v>29.12</v>
      </c>
      <c r="K3">
        <v>18.52</v>
      </c>
      <c r="L3">
        <v>26.72</v>
      </c>
    </row>
    <row r="4" spans="1:12" x14ac:dyDescent="0.25">
      <c r="A4">
        <v>3</v>
      </c>
      <c r="B4" t="s">
        <v>14</v>
      </c>
      <c r="C4">
        <v>15</v>
      </c>
      <c r="D4">
        <v>10</v>
      </c>
      <c r="E4">
        <v>2</v>
      </c>
      <c r="F4">
        <v>3</v>
      </c>
      <c r="G4">
        <v>28</v>
      </c>
      <c r="H4">
        <v>12</v>
      </c>
      <c r="I4">
        <v>32</v>
      </c>
      <c r="J4">
        <v>21.57</v>
      </c>
      <c r="K4">
        <v>13.42</v>
      </c>
      <c r="L4">
        <v>26.05</v>
      </c>
    </row>
    <row r="5" spans="1:12" x14ac:dyDescent="0.25">
      <c r="A5">
        <v>4</v>
      </c>
      <c r="B5" t="s">
        <v>15</v>
      </c>
      <c r="C5">
        <v>15</v>
      </c>
      <c r="D5">
        <v>8</v>
      </c>
      <c r="E5">
        <v>5</v>
      </c>
      <c r="F5">
        <v>2</v>
      </c>
      <c r="G5">
        <v>33</v>
      </c>
      <c r="H5">
        <v>19</v>
      </c>
      <c r="I5">
        <v>29</v>
      </c>
      <c r="J5">
        <v>30.9</v>
      </c>
      <c r="K5">
        <v>17.88</v>
      </c>
      <c r="L5">
        <v>30.04</v>
      </c>
    </row>
    <row r="6" spans="1:12" x14ac:dyDescent="0.25">
      <c r="A6">
        <v>5</v>
      </c>
      <c r="B6" t="s">
        <v>17</v>
      </c>
      <c r="C6">
        <v>15</v>
      </c>
      <c r="D6">
        <v>9</v>
      </c>
      <c r="E6">
        <v>1</v>
      </c>
      <c r="F6">
        <v>5</v>
      </c>
      <c r="G6">
        <v>29</v>
      </c>
      <c r="H6">
        <v>19</v>
      </c>
      <c r="I6">
        <v>28</v>
      </c>
      <c r="J6">
        <v>33.5</v>
      </c>
      <c r="K6">
        <v>17.079999999999998</v>
      </c>
      <c r="L6">
        <v>30.86</v>
      </c>
    </row>
    <row r="7" spans="1:12" x14ac:dyDescent="0.25">
      <c r="A7">
        <v>6</v>
      </c>
      <c r="B7" t="s">
        <v>16</v>
      </c>
      <c r="C7">
        <v>15</v>
      </c>
      <c r="D7">
        <v>7</v>
      </c>
      <c r="E7">
        <v>4</v>
      </c>
      <c r="F7">
        <v>4</v>
      </c>
      <c r="G7">
        <v>23</v>
      </c>
      <c r="H7">
        <v>13</v>
      </c>
      <c r="I7">
        <v>25</v>
      </c>
      <c r="J7">
        <v>24.24</v>
      </c>
      <c r="K7">
        <v>11.44</v>
      </c>
      <c r="L7">
        <v>30.21</v>
      </c>
    </row>
    <row r="8" spans="1:12" x14ac:dyDescent="0.25">
      <c r="A8">
        <v>7</v>
      </c>
      <c r="B8" t="s">
        <v>18</v>
      </c>
      <c r="C8">
        <v>15</v>
      </c>
      <c r="D8">
        <v>7</v>
      </c>
      <c r="E8">
        <v>4</v>
      </c>
      <c r="F8">
        <v>4</v>
      </c>
      <c r="G8">
        <v>14</v>
      </c>
      <c r="H8">
        <v>12</v>
      </c>
      <c r="I8">
        <v>25</v>
      </c>
      <c r="J8">
        <v>9.9600000000000009</v>
      </c>
      <c r="K8">
        <v>20.09</v>
      </c>
      <c r="L8">
        <v>14.1</v>
      </c>
    </row>
    <row r="9" spans="1:12" x14ac:dyDescent="0.25">
      <c r="A9">
        <v>8</v>
      </c>
      <c r="B9" t="s">
        <v>21</v>
      </c>
      <c r="C9">
        <v>15</v>
      </c>
      <c r="D9">
        <v>6</v>
      </c>
      <c r="E9">
        <v>4</v>
      </c>
      <c r="F9">
        <v>5</v>
      </c>
      <c r="G9">
        <v>25</v>
      </c>
      <c r="H9">
        <v>26</v>
      </c>
      <c r="I9">
        <v>22</v>
      </c>
      <c r="J9">
        <v>20.47</v>
      </c>
      <c r="K9">
        <v>22.95</v>
      </c>
      <c r="L9">
        <v>19.05</v>
      </c>
    </row>
    <row r="10" spans="1:12" x14ac:dyDescent="0.25">
      <c r="A10">
        <v>9</v>
      </c>
      <c r="B10" t="s">
        <v>19</v>
      </c>
      <c r="C10">
        <v>15</v>
      </c>
      <c r="D10">
        <v>5</v>
      </c>
      <c r="E10">
        <v>5</v>
      </c>
      <c r="F10">
        <v>5</v>
      </c>
      <c r="G10">
        <v>20</v>
      </c>
      <c r="H10">
        <v>20</v>
      </c>
      <c r="I10">
        <v>20</v>
      </c>
      <c r="J10">
        <v>18.72</v>
      </c>
      <c r="K10">
        <v>19.46</v>
      </c>
      <c r="L10">
        <v>21.58</v>
      </c>
    </row>
    <row r="11" spans="1:12" x14ac:dyDescent="0.25">
      <c r="A11">
        <v>10</v>
      </c>
      <c r="B11" t="s">
        <v>20</v>
      </c>
      <c r="C11">
        <v>15</v>
      </c>
      <c r="D11">
        <v>5</v>
      </c>
      <c r="E11">
        <v>3</v>
      </c>
      <c r="F11">
        <v>7</v>
      </c>
      <c r="G11">
        <v>19</v>
      </c>
      <c r="H11">
        <v>28</v>
      </c>
      <c r="I11">
        <v>18</v>
      </c>
      <c r="J11">
        <v>16.850000000000001</v>
      </c>
      <c r="K11">
        <v>22.42</v>
      </c>
      <c r="L11">
        <v>18.18</v>
      </c>
    </row>
    <row r="12" spans="1:12" x14ac:dyDescent="0.25">
      <c r="A12">
        <v>11</v>
      </c>
      <c r="B12" t="s">
        <v>25</v>
      </c>
      <c r="C12">
        <v>15</v>
      </c>
      <c r="D12">
        <v>4</v>
      </c>
      <c r="E12">
        <v>5</v>
      </c>
      <c r="F12">
        <v>6</v>
      </c>
      <c r="G12">
        <v>15</v>
      </c>
      <c r="H12">
        <v>18</v>
      </c>
      <c r="I12">
        <v>17</v>
      </c>
      <c r="J12">
        <v>19.14</v>
      </c>
      <c r="K12">
        <v>17.89</v>
      </c>
      <c r="L12">
        <v>21.37</v>
      </c>
    </row>
    <row r="13" spans="1:12" x14ac:dyDescent="0.25">
      <c r="A13">
        <v>12</v>
      </c>
      <c r="B13" t="s">
        <v>23</v>
      </c>
      <c r="C13">
        <v>15</v>
      </c>
      <c r="D13">
        <v>4</v>
      </c>
      <c r="E13">
        <v>5</v>
      </c>
      <c r="F13">
        <v>6</v>
      </c>
      <c r="G13">
        <v>14</v>
      </c>
      <c r="H13">
        <v>19</v>
      </c>
      <c r="I13">
        <v>17</v>
      </c>
      <c r="J13">
        <v>12.13</v>
      </c>
      <c r="K13">
        <v>19.02</v>
      </c>
      <c r="L13">
        <v>15.1</v>
      </c>
    </row>
    <row r="14" spans="1:12" x14ac:dyDescent="0.25">
      <c r="A14">
        <v>13</v>
      </c>
      <c r="B14" t="s">
        <v>24</v>
      </c>
      <c r="C14">
        <v>15</v>
      </c>
      <c r="D14">
        <v>4</v>
      </c>
      <c r="E14">
        <v>4</v>
      </c>
      <c r="F14">
        <v>7</v>
      </c>
      <c r="G14">
        <v>18</v>
      </c>
      <c r="H14">
        <v>30</v>
      </c>
      <c r="I14">
        <v>16</v>
      </c>
      <c r="J14">
        <v>15.63</v>
      </c>
      <c r="K14">
        <v>23.64</v>
      </c>
      <c r="L14">
        <v>16.350000000000001</v>
      </c>
    </row>
    <row r="15" spans="1:12" x14ac:dyDescent="0.25">
      <c r="A15">
        <v>14</v>
      </c>
      <c r="B15" t="s">
        <v>29</v>
      </c>
      <c r="C15">
        <v>15</v>
      </c>
      <c r="D15">
        <v>4</v>
      </c>
      <c r="E15">
        <v>3</v>
      </c>
      <c r="F15">
        <v>8</v>
      </c>
      <c r="G15">
        <v>13</v>
      </c>
      <c r="H15">
        <v>17</v>
      </c>
      <c r="I15">
        <v>15</v>
      </c>
      <c r="J15">
        <v>12.22</v>
      </c>
      <c r="K15">
        <v>21.44</v>
      </c>
      <c r="L15">
        <v>14.1</v>
      </c>
    </row>
    <row r="16" spans="1:12" x14ac:dyDescent="0.25">
      <c r="A16">
        <v>15</v>
      </c>
      <c r="B16" t="s">
        <v>26</v>
      </c>
      <c r="C16">
        <v>15</v>
      </c>
      <c r="D16">
        <v>4</v>
      </c>
      <c r="E16">
        <v>3</v>
      </c>
      <c r="F16">
        <v>8</v>
      </c>
      <c r="G16">
        <v>14</v>
      </c>
      <c r="H16">
        <v>22</v>
      </c>
      <c r="I16">
        <v>15</v>
      </c>
      <c r="J16">
        <v>15.73</v>
      </c>
      <c r="K16">
        <v>20.63</v>
      </c>
      <c r="L16">
        <v>17.18</v>
      </c>
    </row>
    <row r="17" spans="1:12" x14ac:dyDescent="0.25">
      <c r="A17">
        <v>16</v>
      </c>
      <c r="B17" t="s">
        <v>22</v>
      </c>
      <c r="C17">
        <v>15</v>
      </c>
      <c r="D17">
        <v>4</v>
      </c>
      <c r="E17">
        <v>3</v>
      </c>
      <c r="F17">
        <v>8</v>
      </c>
      <c r="G17">
        <v>9</v>
      </c>
      <c r="H17">
        <v>26</v>
      </c>
      <c r="I17">
        <v>15</v>
      </c>
      <c r="J17">
        <v>9.65</v>
      </c>
      <c r="K17">
        <v>22.21</v>
      </c>
      <c r="L17">
        <v>12.31</v>
      </c>
    </row>
    <row r="18" spans="1:12" x14ac:dyDescent="0.25">
      <c r="A18">
        <v>17</v>
      </c>
      <c r="B18" t="s">
        <v>30</v>
      </c>
      <c r="C18">
        <v>15</v>
      </c>
      <c r="D18">
        <v>2</v>
      </c>
      <c r="E18">
        <v>7</v>
      </c>
      <c r="F18">
        <v>6</v>
      </c>
      <c r="G18">
        <v>12</v>
      </c>
      <c r="H18">
        <v>21</v>
      </c>
      <c r="I18">
        <v>13</v>
      </c>
      <c r="J18">
        <v>13.03</v>
      </c>
      <c r="K18">
        <v>19.010000000000002</v>
      </c>
      <c r="L18">
        <v>16.07</v>
      </c>
    </row>
    <row r="19" spans="1:12" x14ac:dyDescent="0.25">
      <c r="A19">
        <v>18</v>
      </c>
      <c r="B19" t="s">
        <v>27</v>
      </c>
      <c r="C19">
        <v>15</v>
      </c>
      <c r="D19">
        <v>2</v>
      </c>
      <c r="E19">
        <v>4</v>
      </c>
      <c r="F19">
        <v>9</v>
      </c>
      <c r="G19">
        <v>8</v>
      </c>
      <c r="H19">
        <v>25</v>
      </c>
      <c r="I19">
        <v>10</v>
      </c>
      <c r="J19">
        <v>18.16</v>
      </c>
      <c r="K19">
        <v>23.4</v>
      </c>
      <c r="L19">
        <v>20.36</v>
      </c>
    </row>
    <row r="20" spans="1:12" x14ac:dyDescent="0.25">
      <c r="A20">
        <v>19</v>
      </c>
      <c r="B20" t="s">
        <v>28</v>
      </c>
      <c r="C20">
        <v>15</v>
      </c>
      <c r="D20">
        <v>2</v>
      </c>
      <c r="E20">
        <v>4</v>
      </c>
      <c r="F20">
        <v>9</v>
      </c>
      <c r="G20">
        <v>13</v>
      </c>
      <c r="H20">
        <v>32</v>
      </c>
      <c r="I20">
        <v>10</v>
      </c>
      <c r="J20">
        <v>13.3</v>
      </c>
      <c r="K20">
        <v>24.7</v>
      </c>
      <c r="L20">
        <v>13.59</v>
      </c>
    </row>
    <row r="21" spans="1:12" x14ac:dyDescent="0.25">
      <c r="A21">
        <v>20</v>
      </c>
      <c r="B21" t="s">
        <v>31</v>
      </c>
      <c r="C21">
        <v>15</v>
      </c>
      <c r="D21">
        <v>2</v>
      </c>
      <c r="E21">
        <v>3</v>
      </c>
      <c r="F21">
        <v>10</v>
      </c>
      <c r="G21">
        <v>8</v>
      </c>
      <c r="H21">
        <v>18</v>
      </c>
      <c r="I21">
        <v>9</v>
      </c>
      <c r="J21">
        <v>10.97</v>
      </c>
      <c r="K21">
        <v>21.8</v>
      </c>
      <c r="L21">
        <v>13.89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L21"/>
  <sheetViews>
    <sheetView workbookViewId="0">
      <selection activeCell="J7" sqref="J7"/>
    </sheetView>
  </sheetViews>
  <sheetFormatPr defaultColWidth="10.6640625" defaultRowHeight="15" x14ac:dyDescent="0.25"/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5">
      <c r="A2">
        <v>1</v>
      </c>
      <c r="B2" t="s">
        <v>12</v>
      </c>
      <c r="C2">
        <v>20</v>
      </c>
      <c r="D2">
        <v>19</v>
      </c>
      <c r="E2">
        <v>1</v>
      </c>
      <c r="F2">
        <v>0</v>
      </c>
      <c r="G2">
        <v>61</v>
      </c>
      <c r="H2">
        <v>12</v>
      </c>
      <c r="I2">
        <v>58</v>
      </c>
      <c r="J2">
        <v>54.37</v>
      </c>
      <c r="K2">
        <v>12.11</v>
      </c>
      <c r="L2">
        <v>50.87</v>
      </c>
    </row>
    <row r="3" spans="1:12" x14ac:dyDescent="0.25">
      <c r="A3">
        <v>2</v>
      </c>
      <c r="B3" t="s">
        <v>13</v>
      </c>
      <c r="C3">
        <v>20</v>
      </c>
      <c r="D3">
        <v>13</v>
      </c>
      <c r="E3">
        <v>4</v>
      </c>
      <c r="F3">
        <v>3</v>
      </c>
      <c r="G3">
        <v>43</v>
      </c>
      <c r="H3">
        <v>16</v>
      </c>
      <c r="I3">
        <v>43</v>
      </c>
      <c r="J3">
        <v>36.659999999999997</v>
      </c>
      <c r="K3">
        <v>24.79</v>
      </c>
      <c r="L3">
        <v>34.44</v>
      </c>
    </row>
    <row r="4" spans="1:12" x14ac:dyDescent="0.25">
      <c r="A4">
        <v>3</v>
      </c>
      <c r="B4" t="s">
        <v>14</v>
      </c>
      <c r="C4">
        <v>20</v>
      </c>
      <c r="D4">
        <v>13</v>
      </c>
      <c r="E4">
        <v>3</v>
      </c>
      <c r="F4">
        <v>4</v>
      </c>
      <c r="G4">
        <v>34</v>
      </c>
      <c r="H4">
        <v>14</v>
      </c>
      <c r="I4">
        <v>42</v>
      </c>
      <c r="J4">
        <v>29.94</v>
      </c>
      <c r="K4">
        <v>15.69</v>
      </c>
      <c r="L4">
        <v>37.630000000000003</v>
      </c>
    </row>
    <row r="5" spans="1:12" x14ac:dyDescent="0.25">
      <c r="A5">
        <v>4</v>
      </c>
      <c r="B5" t="s">
        <v>15</v>
      </c>
      <c r="C5">
        <v>20</v>
      </c>
      <c r="D5">
        <v>10</v>
      </c>
      <c r="E5">
        <v>8</v>
      </c>
      <c r="F5">
        <v>2</v>
      </c>
      <c r="G5">
        <v>46</v>
      </c>
      <c r="H5">
        <v>23</v>
      </c>
      <c r="I5">
        <v>38</v>
      </c>
      <c r="J5">
        <v>43.3</v>
      </c>
      <c r="K5">
        <v>21.17</v>
      </c>
      <c r="L5">
        <v>42.57</v>
      </c>
    </row>
    <row r="6" spans="1:12" x14ac:dyDescent="0.25">
      <c r="A6">
        <v>5</v>
      </c>
      <c r="B6" t="s">
        <v>16</v>
      </c>
      <c r="C6">
        <v>20</v>
      </c>
      <c r="D6">
        <v>11</v>
      </c>
      <c r="E6">
        <v>4</v>
      </c>
      <c r="F6">
        <v>5</v>
      </c>
      <c r="G6">
        <v>39</v>
      </c>
      <c r="H6">
        <v>20</v>
      </c>
      <c r="I6">
        <v>37</v>
      </c>
      <c r="J6">
        <v>36.71</v>
      </c>
      <c r="K6">
        <v>17.41</v>
      </c>
      <c r="L6">
        <v>41.42</v>
      </c>
    </row>
    <row r="7" spans="1:12" x14ac:dyDescent="0.25">
      <c r="A7">
        <v>6</v>
      </c>
      <c r="B7" t="s">
        <v>17</v>
      </c>
      <c r="C7">
        <v>20</v>
      </c>
      <c r="D7">
        <v>11</v>
      </c>
      <c r="E7">
        <v>4</v>
      </c>
      <c r="F7">
        <v>5</v>
      </c>
      <c r="G7">
        <v>37</v>
      </c>
      <c r="H7">
        <v>25</v>
      </c>
      <c r="I7">
        <v>37</v>
      </c>
      <c r="J7">
        <v>40.119999999999997</v>
      </c>
      <c r="K7">
        <v>22.19</v>
      </c>
      <c r="L7">
        <v>38.69</v>
      </c>
    </row>
    <row r="8" spans="1:12" x14ac:dyDescent="0.25">
      <c r="A8">
        <v>7</v>
      </c>
      <c r="B8" t="s">
        <v>18</v>
      </c>
      <c r="C8">
        <v>20</v>
      </c>
      <c r="D8">
        <v>9</v>
      </c>
      <c r="E8">
        <v>6</v>
      </c>
      <c r="F8">
        <v>5</v>
      </c>
      <c r="G8">
        <v>18</v>
      </c>
      <c r="H8">
        <v>17</v>
      </c>
      <c r="I8">
        <v>33</v>
      </c>
      <c r="J8">
        <v>13.08</v>
      </c>
      <c r="K8">
        <v>28.44</v>
      </c>
      <c r="L8">
        <v>17.579999999999998</v>
      </c>
    </row>
    <row r="9" spans="1:12" x14ac:dyDescent="0.25">
      <c r="A9">
        <v>8</v>
      </c>
      <c r="B9" t="s">
        <v>19</v>
      </c>
      <c r="C9">
        <v>20</v>
      </c>
      <c r="D9">
        <v>7</v>
      </c>
      <c r="E9">
        <v>6</v>
      </c>
      <c r="F9">
        <v>7</v>
      </c>
      <c r="G9">
        <v>30</v>
      </c>
      <c r="H9">
        <v>30</v>
      </c>
      <c r="I9">
        <v>27</v>
      </c>
      <c r="J9">
        <v>25.28</v>
      </c>
      <c r="K9">
        <v>27.39</v>
      </c>
      <c r="L9">
        <v>27.37</v>
      </c>
    </row>
    <row r="10" spans="1:12" x14ac:dyDescent="0.25">
      <c r="A10">
        <v>9</v>
      </c>
      <c r="B10" t="s">
        <v>20</v>
      </c>
      <c r="C10">
        <v>20</v>
      </c>
      <c r="D10">
        <v>7</v>
      </c>
      <c r="E10">
        <v>6</v>
      </c>
      <c r="F10">
        <v>7</v>
      </c>
      <c r="G10">
        <v>24</v>
      </c>
      <c r="H10">
        <v>30</v>
      </c>
      <c r="I10">
        <v>27</v>
      </c>
      <c r="J10">
        <v>21.82</v>
      </c>
      <c r="K10">
        <v>28.69</v>
      </c>
      <c r="L10">
        <v>24.36</v>
      </c>
    </row>
    <row r="11" spans="1:12" x14ac:dyDescent="0.25">
      <c r="A11">
        <v>10</v>
      </c>
      <c r="B11" t="s">
        <v>21</v>
      </c>
      <c r="C11">
        <v>20</v>
      </c>
      <c r="D11">
        <v>7</v>
      </c>
      <c r="E11">
        <v>4</v>
      </c>
      <c r="F11">
        <v>9</v>
      </c>
      <c r="G11">
        <v>29</v>
      </c>
      <c r="H11">
        <v>35</v>
      </c>
      <c r="I11">
        <v>25</v>
      </c>
      <c r="J11">
        <v>26.01</v>
      </c>
      <c r="K11">
        <v>30.99</v>
      </c>
      <c r="L11">
        <v>24.9</v>
      </c>
    </row>
    <row r="12" spans="1:12" x14ac:dyDescent="0.25">
      <c r="A12">
        <v>11</v>
      </c>
      <c r="B12" t="s">
        <v>22</v>
      </c>
      <c r="C12">
        <v>20</v>
      </c>
      <c r="D12">
        <v>6</v>
      </c>
      <c r="E12">
        <v>5</v>
      </c>
      <c r="F12">
        <v>9</v>
      </c>
      <c r="G12">
        <v>18</v>
      </c>
      <c r="H12">
        <v>32</v>
      </c>
      <c r="I12">
        <v>23</v>
      </c>
      <c r="J12">
        <v>19.27</v>
      </c>
      <c r="K12">
        <v>27.89</v>
      </c>
      <c r="L12">
        <v>21.19</v>
      </c>
    </row>
    <row r="13" spans="1:12" x14ac:dyDescent="0.25">
      <c r="A13">
        <v>12</v>
      </c>
      <c r="B13" t="s">
        <v>23</v>
      </c>
      <c r="C13">
        <v>20</v>
      </c>
      <c r="D13">
        <v>5</v>
      </c>
      <c r="E13">
        <v>6</v>
      </c>
      <c r="F13">
        <v>9</v>
      </c>
      <c r="G13">
        <v>15</v>
      </c>
      <c r="H13">
        <v>25</v>
      </c>
      <c r="I13">
        <v>21</v>
      </c>
      <c r="J13">
        <v>16.059999999999999</v>
      </c>
      <c r="K13">
        <v>28.37</v>
      </c>
      <c r="L13">
        <v>18.71</v>
      </c>
    </row>
    <row r="14" spans="1:12" x14ac:dyDescent="0.25">
      <c r="A14">
        <v>13</v>
      </c>
      <c r="B14" t="s">
        <v>24</v>
      </c>
      <c r="C14">
        <v>20</v>
      </c>
      <c r="D14">
        <v>5</v>
      </c>
      <c r="E14">
        <v>5</v>
      </c>
      <c r="F14">
        <v>10</v>
      </c>
      <c r="G14">
        <v>23</v>
      </c>
      <c r="H14">
        <v>41</v>
      </c>
      <c r="I14">
        <v>20</v>
      </c>
      <c r="J14">
        <v>21.27</v>
      </c>
      <c r="K14">
        <v>35.03</v>
      </c>
      <c r="L14">
        <v>20.65</v>
      </c>
    </row>
    <row r="15" spans="1:12" x14ac:dyDescent="0.25">
      <c r="A15">
        <v>14</v>
      </c>
      <c r="B15" t="s">
        <v>25</v>
      </c>
      <c r="C15">
        <v>20</v>
      </c>
      <c r="D15">
        <v>4</v>
      </c>
      <c r="E15">
        <v>7</v>
      </c>
      <c r="F15">
        <v>9</v>
      </c>
      <c r="G15">
        <v>20</v>
      </c>
      <c r="H15">
        <v>30</v>
      </c>
      <c r="I15">
        <v>19</v>
      </c>
      <c r="J15">
        <v>24.4</v>
      </c>
      <c r="K15">
        <v>26.21</v>
      </c>
      <c r="L15">
        <v>26.67</v>
      </c>
    </row>
    <row r="16" spans="1:12" x14ac:dyDescent="0.25">
      <c r="A16">
        <v>15</v>
      </c>
      <c r="B16" t="s">
        <v>26</v>
      </c>
      <c r="C16">
        <v>20</v>
      </c>
      <c r="D16">
        <v>5</v>
      </c>
      <c r="E16">
        <v>3</v>
      </c>
      <c r="F16">
        <v>12</v>
      </c>
      <c r="G16">
        <v>19</v>
      </c>
      <c r="H16">
        <v>30</v>
      </c>
      <c r="I16">
        <v>18</v>
      </c>
      <c r="J16">
        <v>19.63</v>
      </c>
      <c r="K16">
        <v>28.74</v>
      </c>
      <c r="L16">
        <v>21.1</v>
      </c>
    </row>
    <row r="17" spans="1:12" x14ac:dyDescent="0.25">
      <c r="A17">
        <v>16</v>
      </c>
      <c r="B17" t="s">
        <v>27</v>
      </c>
      <c r="C17">
        <v>20</v>
      </c>
      <c r="D17">
        <v>4</v>
      </c>
      <c r="E17">
        <v>6</v>
      </c>
      <c r="F17">
        <v>10</v>
      </c>
      <c r="G17">
        <v>18</v>
      </c>
      <c r="H17">
        <v>32</v>
      </c>
      <c r="I17">
        <v>18</v>
      </c>
      <c r="J17">
        <v>28.54</v>
      </c>
      <c r="K17">
        <v>28.91</v>
      </c>
      <c r="L17">
        <v>29.71</v>
      </c>
    </row>
    <row r="18" spans="1:12" x14ac:dyDescent="0.25">
      <c r="A18">
        <v>17</v>
      </c>
      <c r="B18" t="s">
        <v>28</v>
      </c>
      <c r="C18">
        <v>20</v>
      </c>
      <c r="D18">
        <v>4</v>
      </c>
      <c r="E18">
        <v>6</v>
      </c>
      <c r="F18">
        <v>10</v>
      </c>
      <c r="G18">
        <v>22</v>
      </c>
      <c r="H18">
        <v>38</v>
      </c>
      <c r="I18">
        <v>18</v>
      </c>
      <c r="J18">
        <v>21.4</v>
      </c>
      <c r="K18">
        <v>32.64</v>
      </c>
      <c r="L18">
        <v>20.11</v>
      </c>
    </row>
    <row r="19" spans="1:12" x14ac:dyDescent="0.25">
      <c r="A19">
        <v>18</v>
      </c>
      <c r="B19" t="s">
        <v>29</v>
      </c>
      <c r="C19">
        <v>20</v>
      </c>
      <c r="D19">
        <v>4</v>
      </c>
      <c r="E19">
        <v>5</v>
      </c>
      <c r="F19">
        <v>11</v>
      </c>
      <c r="G19">
        <v>18</v>
      </c>
      <c r="H19">
        <v>31</v>
      </c>
      <c r="I19">
        <v>17</v>
      </c>
      <c r="J19">
        <v>17.72</v>
      </c>
      <c r="K19">
        <v>33.979999999999997</v>
      </c>
      <c r="L19">
        <v>17.62</v>
      </c>
    </row>
    <row r="20" spans="1:12" x14ac:dyDescent="0.25">
      <c r="A20">
        <v>19</v>
      </c>
      <c r="B20" t="s">
        <v>30</v>
      </c>
      <c r="C20">
        <v>20</v>
      </c>
      <c r="D20">
        <v>2</v>
      </c>
      <c r="E20">
        <v>9</v>
      </c>
      <c r="F20">
        <v>9</v>
      </c>
      <c r="G20">
        <v>14</v>
      </c>
      <c r="H20">
        <v>27</v>
      </c>
      <c r="I20">
        <v>15</v>
      </c>
      <c r="J20">
        <v>18.12</v>
      </c>
      <c r="K20">
        <v>25.26</v>
      </c>
      <c r="L20">
        <v>22.06</v>
      </c>
    </row>
    <row r="21" spans="1:12" x14ac:dyDescent="0.25">
      <c r="A21">
        <v>20</v>
      </c>
      <c r="B21" t="s">
        <v>31</v>
      </c>
      <c r="C21">
        <v>20</v>
      </c>
      <c r="D21">
        <v>3</v>
      </c>
      <c r="E21">
        <v>4</v>
      </c>
      <c r="F21">
        <v>13</v>
      </c>
      <c r="G21">
        <v>11</v>
      </c>
      <c r="H21">
        <v>31</v>
      </c>
      <c r="I21">
        <v>13</v>
      </c>
      <c r="J21">
        <v>14.16</v>
      </c>
      <c r="K21">
        <v>31.96</v>
      </c>
      <c r="L21">
        <v>17.07</v>
      </c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B21"/>
  <sheetViews>
    <sheetView tabSelected="1" topLeftCell="O1" workbookViewId="0">
      <pane ySplit="1" topLeftCell="A2" activePane="bottomLeft" state="frozen"/>
      <selection pane="bottomLeft" activeCell="Y2" sqref="Y2:AB5"/>
    </sheetView>
  </sheetViews>
  <sheetFormatPr defaultRowHeight="15" x14ac:dyDescent="0.25"/>
  <cols>
    <col min="1" max="1" width="26.5" customWidth="1"/>
    <col min="2" max="2" width="15.33203125" customWidth="1"/>
    <col min="3" max="3" width="17.5" customWidth="1"/>
    <col min="4" max="4" width="18.6640625" customWidth="1"/>
    <col min="5" max="7" width="13" customWidth="1"/>
    <col min="8" max="8" width="11.25" customWidth="1"/>
    <col min="9" max="12" width="13" customWidth="1"/>
    <col min="13" max="13" width="12.33203125" customWidth="1"/>
    <col min="14" max="17" width="13" customWidth="1"/>
    <col min="18" max="18" width="15.58203125" customWidth="1"/>
    <col min="19" max="19" width="11.25" customWidth="1"/>
    <col min="20" max="20" width="12.33203125" customWidth="1"/>
    <col min="21" max="23" width="13" customWidth="1"/>
    <col min="24" max="24" width="12.33203125" customWidth="1"/>
    <col min="25" max="25" width="13.4140625" customWidth="1"/>
    <col min="26" max="26" width="16.6640625" customWidth="1"/>
    <col min="27" max="27" width="17.75" customWidth="1"/>
    <col min="28" max="28" width="13" customWidth="1"/>
  </cols>
  <sheetData>
    <row r="1" spans="1:28" x14ac:dyDescent="0.25">
      <c r="A1" t="s">
        <v>32</v>
      </c>
      <c r="B1" t="s">
        <v>33</v>
      </c>
      <c r="C1" t="s">
        <v>34</v>
      </c>
      <c r="D1" t="s">
        <v>35</v>
      </c>
      <c r="E1" t="s">
        <v>36</v>
      </c>
      <c r="F1" t="s">
        <v>37</v>
      </c>
      <c r="G1" s="1" t="s">
        <v>38</v>
      </c>
      <c r="H1" t="s">
        <v>39</v>
      </c>
      <c r="I1" t="s">
        <v>40</v>
      </c>
      <c r="J1" t="s">
        <v>41</v>
      </c>
      <c r="K1" t="s">
        <v>42</v>
      </c>
      <c r="L1" t="s">
        <v>43</v>
      </c>
      <c r="M1" s="1" t="s">
        <v>44</v>
      </c>
      <c r="N1" t="s">
        <v>45</v>
      </c>
      <c r="O1" t="s">
        <v>46</v>
      </c>
      <c r="P1" t="s">
        <v>47</v>
      </c>
      <c r="Q1" t="s">
        <v>48</v>
      </c>
      <c r="R1" s="1" t="s">
        <v>49</v>
      </c>
      <c r="S1" t="s">
        <v>50</v>
      </c>
      <c r="T1" t="s">
        <v>51</v>
      </c>
      <c r="U1" t="s">
        <v>52</v>
      </c>
      <c r="V1" t="s">
        <v>53</v>
      </c>
      <c r="X1" s="1" t="s">
        <v>54</v>
      </c>
      <c r="Y1" t="s">
        <v>55</v>
      </c>
      <c r="Z1" t="s">
        <v>56</v>
      </c>
      <c r="AA1" t="s">
        <v>57</v>
      </c>
      <c r="AB1" t="s">
        <v>58</v>
      </c>
    </row>
    <row r="2" spans="1:28" x14ac:dyDescent="0.25">
      <c r="A2" t="s">
        <v>12</v>
      </c>
      <c r="B2" s="2">
        <f>IFERROR((VLOOKUP($A2,'17-18'!$B:$L,6,FALSE)-VLOOKUP($A2,'17-18'!$B:$L,7,FALSE))/VLOOKUP($A2,'17-18'!$B:$L,2,FALSE),"")</f>
        <v>2.0789473684210527</v>
      </c>
      <c r="C2" s="2">
        <f>IFERROR((VLOOKUP($A2,'18-19 First 5'!$B:$L,6,FALSE)-VLOOKUP($A2,'18-19 First 5'!$B:$L,7,FALSE))/VLOOKUP($A2,'18-19 First 5'!$B:$L,2,FALSE),"")</f>
        <v>2.8</v>
      </c>
      <c r="D2" s="2">
        <f>IFERROR((VLOOKUP($A2,'18-19 First 10'!$B:$L,6,FALSE)-VLOOKUP($A2,'18-19 First 10'!$B:$L,7,FALSE))/VLOOKUP($A2,'18-19 First 10'!$B:$L,2,FALSE),"")</f>
        <v>2.9</v>
      </c>
      <c r="E2" s="2">
        <f>IFERROR((VLOOKUP($A2,'18-19 First 15'!$B:$L,6,FALSE)-VLOOKUP($A2,'18-19 First 15'!$B:$L,7,FALSE))/VLOOKUP($A2,'18-19 First 15'!$B:$L,2,FALSE),"")</f>
        <v>2.4</v>
      </c>
      <c r="F2" s="2">
        <f>IFERROR((VLOOKUP($A2,'18-19 First 20'!$B:$L,6,FALSE)-VLOOKUP($A2,'18-19 First 20'!$B:$L,7,FALSE))/VLOOKUP($A2,'18-19 First 20'!$B:$L,2,FALSE),"")</f>
        <v>2.4500000000000002</v>
      </c>
      <c r="G2" s="3">
        <v>1</v>
      </c>
      <c r="H2" s="3">
        <f t="shared" ref="H2:H21" si="0">IFERROR(RANK(B2,$B$2:$B$21,0),"")</f>
        <v>1</v>
      </c>
      <c r="I2" s="3">
        <f t="shared" ref="I2:I21" si="1">IFERROR(RANK(C2,$C$2:$C$21,0),"")</f>
        <v>1</v>
      </c>
      <c r="J2" s="3">
        <f t="shared" ref="J2:J21" si="2">IFERROR(RANK(D2,$D$2:$D$21,0),"")</f>
        <v>1</v>
      </c>
      <c r="K2" s="3">
        <f t="shared" ref="K2:K21" si="3">IFERROR(RANK(E2,$E$2:$E$21,0),"")</f>
        <v>1</v>
      </c>
      <c r="L2" s="3">
        <f t="shared" ref="L2:L21" si="4">IFERROR(RANK(F2,$F$2:$F$21,0),"")</f>
        <v>1</v>
      </c>
      <c r="M2" s="3">
        <f t="shared" ref="M2:M21" si="5">IFERROR(ABS(H2-$G2),"")</f>
        <v>0</v>
      </c>
      <c r="N2" s="3">
        <f t="shared" ref="N2:N21" si="6">IFERROR(ABS(I2-$G2),"")</f>
        <v>0</v>
      </c>
      <c r="O2" s="3">
        <f t="shared" ref="O2:O21" si="7">IFERROR(ABS(J2-$G2),"")</f>
        <v>0</v>
      </c>
      <c r="P2" s="3">
        <f t="shared" ref="P2:P21" si="8">IFERROR(ABS(K2-$G2),"")</f>
        <v>0</v>
      </c>
      <c r="Q2" s="3">
        <f t="shared" ref="Q2:Q21" si="9">IFERROR(ABS(L2-$G2),"")</f>
        <v>0</v>
      </c>
      <c r="R2" s="3">
        <f t="shared" ref="R2:R21" si="10">IFERROR(M2^2,"")</f>
        <v>0</v>
      </c>
      <c r="S2" s="3">
        <f t="shared" ref="S2:S21" si="11">IFERROR(N2^2,"")</f>
        <v>0</v>
      </c>
      <c r="T2" s="3">
        <f t="shared" ref="T2:T21" si="12">IFERROR(O2^2,"")</f>
        <v>0</v>
      </c>
      <c r="U2" s="3">
        <f t="shared" ref="U2:U21" si="13">IFERROR(P2^2,"")</f>
        <v>0</v>
      </c>
      <c r="V2" s="3">
        <f t="shared" ref="V2:V21" si="14">IFERROR(Q2^2,"")</f>
        <v>0</v>
      </c>
      <c r="X2">
        <v>5</v>
      </c>
      <c r="Y2" s="4">
        <f>AVERAGE(N$2:N$21)</f>
        <v>6.4</v>
      </c>
      <c r="Z2" s="4">
        <f>SQRT(AVERAGE(S$2:S$21))</f>
        <v>7.6746335417399569</v>
      </c>
      <c r="AA2" s="4">
        <f>AVERAGE($M$2:$M$21)</f>
        <v>4.75</v>
      </c>
      <c r="AB2" s="4">
        <f>SQRT(AVERAGE($R$2:$R$21))</f>
        <v>7.6452599694189605</v>
      </c>
    </row>
    <row r="3" spans="1:28" x14ac:dyDescent="0.25">
      <c r="A3" t="s">
        <v>13</v>
      </c>
      <c r="B3" s="2">
        <f>IFERROR((VLOOKUP($A3,'17-18'!$B:$L,6,FALSE)-VLOOKUP($A3,'17-18'!$B:$L,7,FALSE))/VLOOKUP($A3,'17-18'!$B:$L,2,FALSE),"")</f>
        <v>1.0526315789473684</v>
      </c>
      <c r="C3" s="2">
        <f>IFERROR((VLOOKUP($A3,'18-19 First 5'!$B:$L,6,FALSE)-VLOOKUP($A3,'18-19 First 5'!$B:$L,7,FALSE))/VLOOKUP($A3,'18-19 First 5'!$B:$L,2,FALSE),"")</f>
        <v>2.8</v>
      </c>
      <c r="D3" s="2">
        <f>IFERROR((VLOOKUP($A3,'18-19 First 10'!$B:$L,6,FALSE)-VLOOKUP($A3,'18-19 First 10'!$B:$L,7,FALSE))/VLOOKUP($A3,'18-19 First 10'!$B:$L,2,FALSE),"")</f>
        <v>1.9</v>
      </c>
      <c r="E3" s="2">
        <f>IFERROR((VLOOKUP($A3,'18-19 First 15'!$B:$L,6,FALSE)-VLOOKUP($A3,'18-19 First 15'!$B:$L,7,FALSE))/VLOOKUP($A3,'18-19 First 15'!$B:$L,2,FALSE),"")</f>
        <v>1.7333333333333334</v>
      </c>
      <c r="F3" s="2">
        <f>IFERROR((VLOOKUP($A3,'18-19 First 20'!$B:$L,6,FALSE)-VLOOKUP($A3,'18-19 First 20'!$B:$L,7,FALSE))/VLOOKUP($A3,'18-19 First 20'!$B:$L,2,FALSE),"")</f>
        <v>1.35</v>
      </c>
      <c r="G3" s="3">
        <v>6</v>
      </c>
      <c r="H3" s="3">
        <f t="shared" si="0"/>
        <v>3</v>
      </c>
      <c r="I3" s="3">
        <f t="shared" si="1"/>
        <v>1</v>
      </c>
      <c r="J3" s="3">
        <f t="shared" si="2"/>
        <v>2</v>
      </c>
      <c r="K3" s="3">
        <f t="shared" si="3"/>
        <v>2</v>
      </c>
      <c r="L3" s="3">
        <f t="shared" si="4"/>
        <v>2</v>
      </c>
      <c r="M3" s="3">
        <f t="shared" si="5"/>
        <v>3</v>
      </c>
      <c r="N3" s="3">
        <f t="shared" si="6"/>
        <v>5</v>
      </c>
      <c r="O3" s="3">
        <f t="shared" si="7"/>
        <v>4</v>
      </c>
      <c r="P3" s="3">
        <f t="shared" si="8"/>
        <v>4</v>
      </c>
      <c r="Q3" s="3">
        <f t="shared" si="9"/>
        <v>4</v>
      </c>
      <c r="R3" s="3">
        <f t="shared" si="10"/>
        <v>9</v>
      </c>
      <c r="S3" s="3">
        <f t="shared" si="11"/>
        <v>25</v>
      </c>
      <c r="T3" s="3">
        <f t="shared" si="12"/>
        <v>16</v>
      </c>
      <c r="U3" s="3">
        <f t="shared" si="13"/>
        <v>16</v>
      </c>
      <c r="V3" s="3">
        <f t="shared" si="14"/>
        <v>16</v>
      </c>
      <c r="X3">
        <v>10</v>
      </c>
      <c r="Y3" s="4">
        <f>AVERAGE(O$2:O$21)</f>
        <v>5.8</v>
      </c>
      <c r="Z3" s="4">
        <f>SQRT(AVERAGE(T$2:T$21))</f>
        <v>7.5365774725667087</v>
      </c>
      <c r="AA3" s="4">
        <f>AVERAGE($M$2:$M$21)</f>
        <v>4.75</v>
      </c>
      <c r="AB3" s="4">
        <f>SQRT(AVERAGE($R$2:$R$21))</f>
        <v>7.6452599694189605</v>
      </c>
    </row>
    <row r="4" spans="1:28" x14ac:dyDescent="0.25">
      <c r="A4" t="s">
        <v>14</v>
      </c>
      <c r="B4" s="2">
        <f>IFERROR((VLOOKUP($A4,'17-18'!$B:$L,6,FALSE)-VLOOKUP($A4,'17-18'!$B:$L,7,FALSE))/VLOOKUP($A4,'17-18'!$B:$L,2,FALSE),"")</f>
        <v>0.63157894736842102</v>
      </c>
      <c r="C4" s="2">
        <f>IFERROR((VLOOKUP($A4,'18-19 First 5'!$B:$L,6,FALSE)-VLOOKUP($A4,'18-19 First 5'!$B:$L,7,FALSE))/VLOOKUP($A4,'18-19 First 5'!$B:$L,2,FALSE),"")</f>
        <v>0.6</v>
      </c>
      <c r="D4" s="2">
        <f>IFERROR((VLOOKUP($A4,'18-19 First 10'!$B:$L,6,FALSE)-VLOOKUP($A4,'18-19 First 10'!$B:$L,7,FALSE))/VLOOKUP($A4,'18-19 First 10'!$B:$L,2,FALSE),"")</f>
        <v>0.8</v>
      </c>
      <c r="E4" s="2">
        <f>IFERROR((VLOOKUP($A4,'18-19 First 15'!$B:$L,6,FALSE)-VLOOKUP($A4,'18-19 First 15'!$B:$L,7,FALSE))/VLOOKUP($A4,'18-19 First 15'!$B:$L,2,FALSE),"")</f>
        <v>1.0666666666666667</v>
      </c>
      <c r="F4" s="2">
        <f>IFERROR((VLOOKUP($A4,'18-19 First 20'!$B:$L,6,FALSE)-VLOOKUP($A4,'18-19 First 20'!$B:$L,7,FALSE))/VLOOKUP($A4,'18-19 First 20'!$B:$L,2,FALSE),"")</f>
        <v>1</v>
      </c>
      <c r="G4" s="3">
        <v>3</v>
      </c>
      <c r="H4" s="3">
        <f t="shared" si="0"/>
        <v>5</v>
      </c>
      <c r="I4" s="3">
        <f t="shared" si="1"/>
        <v>4</v>
      </c>
      <c r="J4" s="3">
        <f t="shared" si="2"/>
        <v>4</v>
      </c>
      <c r="K4" s="3">
        <f t="shared" si="3"/>
        <v>3</v>
      </c>
      <c r="L4" s="3">
        <f t="shared" si="4"/>
        <v>4</v>
      </c>
      <c r="M4" s="3">
        <f t="shared" si="5"/>
        <v>2</v>
      </c>
      <c r="N4" s="3">
        <f t="shared" si="6"/>
        <v>1</v>
      </c>
      <c r="O4" s="3">
        <f t="shared" si="7"/>
        <v>1</v>
      </c>
      <c r="P4" s="3">
        <f t="shared" si="8"/>
        <v>0</v>
      </c>
      <c r="Q4" s="3">
        <f t="shared" si="9"/>
        <v>1</v>
      </c>
      <c r="R4" s="3">
        <f t="shared" si="10"/>
        <v>4</v>
      </c>
      <c r="S4" s="3">
        <f t="shared" si="11"/>
        <v>1</v>
      </c>
      <c r="T4" s="3">
        <f t="shared" si="12"/>
        <v>1</v>
      </c>
      <c r="U4" s="3">
        <f t="shared" si="13"/>
        <v>0</v>
      </c>
      <c r="V4" s="3">
        <f t="shared" si="14"/>
        <v>1</v>
      </c>
      <c r="X4">
        <v>15</v>
      </c>
      <c r="Y4" s="4">
        <f>AVERAGE(P$2:P$21)</f>
        <v>5.15</v>
      </c>
      <c r="Z4" s="4">
        <f>SQRT(AVERAGE(U$2:U$21))</f>
        <v>7.338255923582933</v>
      </c>
      <c r="AA4" s="4">
        <f>AVERAGE($M$2:$M$21)</f>
        <v>4.75</v>
      </c>
      <c r="AB4" s="4">
        <f>SQRT(AVERAGE($R$2:$R$21))</f>
        <v>7.6452599694189605</v>
      </c>
    </row>
    <row r="5" spans="1:28" x14ac:dyDescent="0.25">
      <c r="A5" t="s">
        <v>15</v>
      </c>
      <c r="B5" s="2">
        <f>IFERROR((VLOOKUP($A5,'17-18'!$B:$L,6,FALSE)-VLOOKUP($A5,'17-18'!$B:$L,7,FALSE))/VLOOKUP($A5,'17-18'!$B:$L,2,FALSE),"")</f>
        <v>1.2105263157894737</v>
      </c>
      <c r="C5" s="2">
        <f>IFERROR((VLOOKUP($A5,'18-19 First 5'!$B:$L,6,FALSE)-VLOOKUP($A5,'18-19 First 5'!$B:$L,7,FALSE))/VLOOKUP($A5,'18-19 First 5'!$B:$L,2,FALSE),"")</f>
        <v>0</v>
      </c>
      <c r="D5" s="2">
        <f>IFERROR((VLOOKUP($A5,'18-19 First 10'!$B:$L,6,FALSE)-VLOOKUP($A5,'18-19 First 10'!$B:$L,7,FALSE))/VLOOKUP($A5,'18-19 First 10'!$B:$L,2,FALSE),"")</f>
        <v>0.1</v>
      </c>
      <c r="E5" s="2">
        <f>IFERROR((VLOOKUP($A5,'18-19 First 15'!$B:$L,6,FALSE)-VLOOKUP($A5,'18-19 First 15'!$B:$L,7,FALSE))/VLOOKUP($A5,'18-19 First 15'!$B:$L,2,FALSE),"")</f>
        <v>0.93333333333333335</v>
      </c>
      <c r="F5" s="2">
        <f>IFERROR((VLOOKUP($A5,'18-19 First 20'!$B:$L,6,FALSE)-VLOOKUP($A5,'18-19 First 20'!$B:$L,7,FALSE))/VLOOKUP($A5,'18-19 First 20'!$B:$L,2,FALSE),"")</f>
        <v>1.1499999999999999</v>
      </c>
      <c r="G5" s="3">
        <v>2</v>
      </c>
      <c r="H5" s="3">
        <f t="shared" si="0"/>
        <v>2</v>
      </c>
      <c r="I5" s="3">
        <f t="shared" si="1"/>
        <v>8</v>
      </c>
      <c r="J5" s="3">
        <f t="shared" si="2"/>
        <v>6</v>
      </c>
      <c r="K5" s="3">
        <f t="shared" si="3"/>
        <v>4</v>
      </c>
      <c r="L5" s="3">
        <f t="shared" si="4"/>
        <v>3</v>
      </c>
      <c r="M5" s="3">
        <f t="shared" si="5"/>
        <v>0</v>
      </c>
      <c r="N5" s="3">
        <f t="shared" si="6"/>
        <v>6</v>
      </c>
      <c r="O5" s="3">
        <f t="shared" si="7"/>
        <v>4</v>
      </c>
      <c r="P5" s="3">
        <f t="shared" si="8"/>
        <v>2</v>
      </c>
      <c r="Q5" s="3">
        <f t="shared" si="9"/>
        <v>1</v>
      </c>
      <c r="R5" s="3">
        <f t="shared" si="10"/>
        <v>0</v>
      </c>
      <c r="S5" s="3">
        <f t="shared" si="11"/>
        <v>36</v>
      </c>
      <c r="T5" s="3">
        <f t="shared" si="12"/>
        <v>16</v>
      </c>
      <c r="U5" s="3">
        <f t="shared" si="13"/>
        <v>4</v>
      </c>
      <c r="V5" s="3">
        <f t="shared" si="14"/>
        <v>1</v>
      </c>
      <c r="X5">
        <v>20</v>
      </c>
      <c r="Y5" s="4">
        <f>AVERAGE(Q$2:Q$21)</f>
        <v>5</v>
      </c>
      <c r="Z5" s="4">
        <f>SQRT(AVERAGE(V$2:V$21))</f>
        <v>7.758865896508329</v>
      </c>
      <c r="AA5" s="4">
        <f>AVERAGE($M$2:$M$21)</f>
        <v>4.75</v>
      </c>
      <c r="AB5" s="4">
        <f>SQRT(AVERAGE($R$2:$R$21))</f>
        <v>7.6452599694189605</v>
      </c>
    </row>
    <row r="6" spans="1:28" x14ac:dyDescent="0.25">
      <c r="A6" t="s">
        <v>16</v>
      </c>
      <c r="B6" s="2">
        <f>IFERROR((VLOOKUP($A6,'17-18'!$B:$L,6,FALSE)-VLOOKUP($A6,'17-18'!$B:$L,7,FALSE))/VLOOKUP($A6,'17-18'!$B:$L,2,FALSE),"")</f>
        <v>1</v>
      </c>
      <c r="C6" s="2">
        <f>IFERROR((VLOOKUP($A6,'18-19 First 5'!$B:$L,6,FALSE)-VLOOKUP($A6,'18-19 First 5'!$B:$L,7,FALSE))/VLOOKUP($A6,'18-19 First 5'!$B:$L,2,FALSE),"")</f>
        <v>0.8</v>
      </c>
      <c r="D6" s="2">
        <f>IFERROR((VLOOKUP($A6,'18-19 First 10'!$B:$L,6,FALSE)-VLOOKUP($A6,'18-19 First 10'!$B:$L,7,FALSE))/VLOOKUP($A6,'18-19 First 10'!$B:$L,2,FALSE),"")</f>
        <v>1.2</v>
      </c>
      <c r="E6" s="2">
        <f>IFERROR((VLOOKUP($A6,'18-19 First 15'!$B:$L,6,FALSE)-VLOOKUP($A6,'18-19 First 15'!$B:$L,7,FALSE))/VLOOKUP($A6,'18-19 First 15'!$B:$L,2,FALSE),"")</f>
        <v>0.66666666666666663</v>
      </c>
      <c r="F6" s="2">
        <f>IFERROR((VLOOKUP($A6,'18-19 First 20'!$B:$L,6,FALSE)-VLOOKUP($A6,'18-19 First 20'!$B:$L,7,FALSE))/VLOOKUP($A6,'18-19 First 20'!$B:$L,2,FALSE),"")</f>
        <v>0.95</v>
      </c>
      <c r="G6" s="3">
        <v>4</v>
      </c>
      <c r="H6" s="3">
        <f t="shared" si="0"/>
        <v>4</v>
      </c>
      <c r="I6" s="3">
        <f t="shared" si="1"/>
        <v>3</v>
      </c>
      <c r="J6" s="3">
        <f t="shared" si="2"/>
        <v>3</v>
      </c>
      <c r="K6" s="3">
        <f t="shared" si="3"/>
        <v>5</v>
      </c>
      <c r="L6" s="3">
        <f t="shared" si="4"/>
        <v>5</v>
      </c>
      <c r="M6" s="3">
        <f t="shared" si="5"/>
        <v>0</v>
      </c>
      <c r="N6" s="3">
        <f t="shared" si="6"/>
        <v>1</v>
      </c>
      <c r="O6" s="3">
        <f t="shared" si="7"/>
        <v>1</v>
      </c>
      <c r="P6" s="3">
        <f t="shared" si="8"/>
        <v>1</v>
      </c>
      <c r="Q6" s="3">
        <f t="shared" si="9"/>
        <v>1</v>
      </c>
      <c r="R6" s="3">
        <f t="shared" si="10"/>
        <v>0</v>
      </c>
      <c r="S6" s="3">
        <f t="shared" si="11"/>
        <v>1</v>
      </c>
      <c r="T6" s="3">
        <f t="shared" si="12"/>
        <v>1</v>
      </c>
      <c r="U6" s="3">
        <f t="shared" si="13"/>
        <v>1</v>
      </c>
      <c r="V6" s="3">
        <f t="shared" si="14"/>
        <v>1</v>
      </c>
    </row>
    <row r="7" spans="1:28" x14ac:dyDescent="0.25">
      <c r="A7" t="s">
        <v>17</v>
      </c>
      <c r="B7" s="2">
        <f>IFERROR((VLOOKUP($A7,'17-18'!$B:$L,6,FALSE)-VLOOKUP($A7,'17-18'!$B:$L,7,FALSE))/VLOOKUP($A7,'17-18'!$B:$L,2,FALSE),"")</f>
        <v>0.60526315789473684</v>
      </c>
      <c r="C7" s="2">
        <f>IFERROR((VLOOKUP($A7,'18-19 First 5'!$B:$L,6,FALSE)-VLOOKUP($A7,'18-19 First 5'!$B:$L,7,FALSE))/VLOOKUP($A7,'18-19 First 5'!$B:$L,2,FALSE),"")</f>
        <v>-0.2</v>
      </c>
      <c r="D7" s="2">
        <f>IFERROR((VLOOKUP($A7,'18-19 First 10'!$B:$L,6,FALSE)-VLOOKUP($A7,'18-19 First 10'!$B:$L,7,FALSE))/VLOOKUP($A7,'18-19 First 10'!$B:$L,2,FALSE),"")</f>
        <v>0.6</v>
      </c>
      <c r="E7" s="2">
        <f>IFERROR((VLOOKUP($A7,'18-19 First 15'!$B:$L,6,FALSE)-VLOOKUP($A7,'18-19 First 15'!$B:$L,7,FALSE))/VLOOKUP($A7,'18-19 First 15'!$B:$L,2,FALSE),"")</f>
        <v>0.66666666666666663</v>
      </c>
      <c r="F7" s="2">
        <f>IFERROR((VLOOKUP($A7,'18-19 First 20'!$B:$L,6,FALSE)-VLOOKUP($A7,'18-19 First 20'!$B:$L,7,FALSE))/VLOOKUP($A7,'18-19 First 20'!$B:$L,2,FALSE),"")</f>
        <v>0.6</v>
      </c>
      <c r="G7" s="3">
        <v>5</v>
      </c>
      <c r="H7" s="3">
        <f t="shared" si="0"/>
        <v>6</v>
      </c>
      <c r="I7" s="3">
        <f t="shared" si="1"/>
        <v>11</v>
      </c>
      <c r="J7" s="3">
        <f t="shared" si="2"/>
        <v>5</v>
      </c>
      <c r="K7" s="3">
        <f t="shared" si="3"/>
        <v>5</v>
      </c>
      <c r="L7" s="3">
        <f t="shared" si="4"/>
        <v>6</v>
      </c>
      <c r="M7" s="3">
        <f t="shared" si="5"/>
        <v>1</v>
      </c>
      <c r="N7" s="3">
        <f t="shared" si="6"/>
        <v>6</v>
      </c>
      <c r="O7" s="3">
        <f t="shared" si="7"/>
        <v>0</v>
      </c>
      <c r="P7" s="3">
        <f t="shared" si="8"/>
        <v>0</v>
      </c>
      <c r="Q7" s="3">
        <f t="shared" si="9"/>
        <v>1</v>
      </c>
      <c r="R7" s="3">
        <f t="shared" si="10"/>
        <v>1</v>
      </c>
      <c r="S7" s="3">
        <f t="shared" si="11"/>
        <v>36</v>
      </c>
      <c r="T7" s="3">
        <f t="shared" si="12"/>
        <v>0</v>
      </c>
      <c r="U7" s="3">
        <f t="shared" si="13"/>
        <v>0</v>
      </c>
      <c r="V7" s="3">
        <f t="shared" si="14"/>
        <v>1</v>
      </c>
    </row>
    <row r="8" spans="1:28" x14ac:dyDescent="0.25">
      <c r="A8" t="s">
        <v>18</v>
      </c>
      <c r="B8" s="2">
        <f>IFERROR((VLOOKUP($A8,'17-18'!$B:$L,6,FALSE)-VLOOKUP($A8,'17-18'!$B:$L,7,FALSE))/VLOOKUP($A8,'17-18'!$B:$L,2,FALSE),"")</f>
        <v>-7.8947368421052627E-2</v>
      </c>
      <c r="C8" s="2">
        <f>IFERROR((VLOOKUP($A8,'18-19 First 5'!$B:$L,6,FALSE)-VLOOKUP($A8,'18-19 First 5'!$B:$L,7,FALSE))/VLOOKUP($A8,'18-19 First 5'!$B:$L,2,FALSE),"")</f>
        <v>0.2</v>
      </c>
      <c r="D8" s="2">
        <f>IFERROR((VLOOKUP($A8,'18-19 First 10'!$B:$L,6,FALSE)-VLOOKUP($A8,'18-19 First 10'!$B:$L,7,FALSE))/VLOOKUP($A8,'18-19 First 10'!$B:$L,2,FALSE),"")</f>
        <v>0</v>
      </c>
      <c r="E8" s="2">
        <f>IFERROR((VLOOKUP($A8,'18-19 First 15'!$B:$L,6,FALSE)-VLOOKUP($A8,'18-19 First 15'!$B:$L,7,FALSE))/VLOOKUP($A8,'18-19 First 15'!$B:$L,2,FALSE),"")</f>
        <v>0.13333333333333333</v>
      </c>
      <c r="F8" s="2">
        <f>IFERROR((VLOOKUP($A8,'18-19 First 20'!$B:$L,6,FALSE)-VLOOKUP($A8,'18-19 First 20'!$B:$L,7,FALSE))/VLOOKUP($A8,'18-19 First 20'!$B:$L,2,FALSE),"")</f>
        <v>0.05</v>
      </c>
      <c r="G8" s="3">
        <v>15</v>
      </c>
      <c r="H8" s="3">
        <f t="shared" si="0"/>
        <v>7</v>
      </c>
      <c r="I8" s="3">
        <f t="shared" si="1"/>
        <v>7</v>
      </c>
      <c r="J8" s="3">
        <f t="shared" si="2"/>
        <v>8</v>
      </c>
      <c r="K8" s="3">
        <f t="shared" si="3"/>
        <v>7</v>
      </c>
      <c r="L8" s="3">
        <f t="shared" si="4"/>
        <v>7</v>
      </c>
      <c r="M8" s="3">
        <f t="shared" si="5"/>
        <v>8</v>
      </c>
      <c r="N8" s="3">
        <f t="shared" si="6"/>
        <v>8</v>
      </c>
      <c r="O8" s="3">
        <f t="shared" si="7"/>
        <v>7</v>
      </c>
      <c r="P8" s="3">
        <f t="shared" si="8"/>
        <v>8</v>
      </c>
      <c r="Q8" s="3">
        <f t="shared" si="9"/>
        <v>8</v>
      </c>
      <c r="R8" s="3">
        <f t="shared" si="10"/>
        <v>64</v>
      </c>
      <c r="S8" s="3">
        <f t="shared" si="11"/>
        <v>64</v>
      </c>
      <c r="T8" s="3">
        <f t="shared" si="12"/>
        <v>49</v>
      </c>
      <c r="U8" s="3">
        <f t="shared" si="13"/>
        <v>64</v>
      </c>
      <c r="V8" s="3">
        <f t="shared" si="14"/>
        <v>64</v>
      </c>
    </row>
    <row r="9" spans="1:28" x14ac:dyDescent="0.25">
      <c r="A9" t="s">
        <v>19</v>
      </c>
      <c r="B9" s="2">
        <f>IFERROR((VLOOKUP($A9,'17-18'!$B:$L,6,FALSE)-VLOOKUP($A9,'17-18'!$B:$L,7,FALSE))/VLOOKUP($A9,'17-18'!$B:$L,2,FALSE),"")</f>
        <v>-0.10526315789473684</v>
      </c>
      <c r="C9" s="2">
        <f>IFERROR((VLOOKUP($A9,'18-19 First 5'!$B:$L,6,FALSE)-VLOOKUP($A9,'18-19 First 5'!$B:$L,7,FALSE))/VLOOKUP($A9,'18-19 First 5'!$B:$L,2,FALSE),"")</f>
        <v>-0.4</v>
      </c>
      <c r="D9" s="2">
        <f>IFERROR((VLOOKUP($A9,'18-19 First 10'!$B:$L,6,FALSE)-VLOOKUP($A9,'18-19 First 10'!$B:$L,7,FALSE))/VLOOKUP($A9,'18-19 First 10'!$B:$L,2,FALSE),"")</f>
        <v>0</v>
      </c>
      <c r="E9" s="2">
        <f>IFERROR((VLOOKUP($A9,'18-19 First 15'!$B:$L,6,FALSE)-VLOOKUP($A9,'18-19 First 15'!$B:$L,7,FALSE))/VLOOKUP($A9,'18-19 First 15'!$B:$L,2,FALSE),"")</f>
        <v>0</v>
      </c>
      <c r="F9" s="2">
        <f>IFERROR((VLOOKUP($A9,'18-19 First 20'!$B:$L,6,FALSE)-VLOOKUP($A9,'18-19 First 20'!$B:$L,7,FALSE))/VLOOKUP($A9,'18-19 First 20'!$B:$L,2,FALSE),"")</f>
        <v>0</v>
      </c>
      <c r="G9" s="3">
        <v>9</v>
      </c>
      <c r="H9" s="3">
        <f t="shared" si="0"/>
        <v>8</v>
      </c>
      <c r="I9" s="3">
        <f t="shared" si="1"/>
        <v>13</v>
      </c>
      <c r="J9" s="3">
        <f t="shared" si="2"/>
        <v>8</v>
      </c>
      <c r="K9" s="3">
        <f t="shared" si="3"/>
        <v>8</v>
      </c>
      <c r="L9" s="3">
        <f t="shared" si="4"/>
        <v>8</v>
      </c>
      <c r="M9" s="3">
        <f t="shared" si="5"/>
        <v>1</v>
      </c>
      <c r="N9" s="3">
        <f t="shared" si="6"/>
        <v>4</v>
      </c>
      <c r="O9" s="3">
        <f t="shared" si="7"/>
        <v>1</v>
      </c>
      <c r="P9" s="3">
        <f t="shared" si="8"/>
        <v>1</v>
      </c>
      <c r="Q9" s="3">
        <f t="shared" si="9"/>
        <v>1</v>
      </c>
      <c r="R9" s="3">
        <f t="shared" si="10"/>
        <v>1</v>
      </c>
      <c r="S9" s="3">
        <f t="shared" si="11"/>
        <v>16</v>
      </c>
      <c r="T9" s="3">
        <f t="shared" si="12"/>
        <v>1</v>
      </c>
      <c r="U9" s="3">
        <f t="shared" si="13"/>
        <v>1</v>
      </c>
      <c r="V9" s="3">
        <f t="shared" si="14"/>
        <v>1</v>
      </c>
    </row>
    <row r="10" spans="1:28" x14ac:dyDescent="0.25">
      <c r="A10" t="s">
        <v>20</v>
      </c>
      <c r="B10" s="2">
        <f>IFERROR((VLOOKUP($A10,'17-18'!$B:$L,6,FALSE)-VLOOKUP($A10,'17-18'!$B:$L,7,FALSE))/VLOOKUP($A10,'17-18'!$B:$L,2,FALSE),"")</f>
        <v>-0.36842105263157893</v>
      </c>
      <c r="C10" s="2">
        <f>IFERROR((VLOOKUP($A10,'18-19 First 5'!$B:$L,6,FALSE)-VLOOKUP($A10,'18-19 First 5'!$B:$L,7,FALSE))/VLOOKUP($A10,'18-19 First 5'!$B:$L,2,FALSE),"")</f>
        <v>-1.6</v>
      </c>
      <c r="D10" s="2">
        <f>IFERROR((VLOOKUP($A10,'18-19 First 10'!$B:$L,6,FALSE)-VLOOKUP($A10,'18-19 First 10'!$B:$L,7,FALSE))/VLOOKUP($A10,'18-19 First 10'!$B:$L,2,FALSE),"")</f>
        <v>-1.3</v>
      </c>
      <c r="E10" s="2">
        <f>IFERROR((VLOOKUP($A10,'18-19 First 15'!$B:$L,6,FALSE)-VLOOKUP($A10,'18-19 First 15'!$B:$L,7,FALSE))/VLOOKUP($A10,'18-19 First 15'!$B:$L,2,FALSE),"")</f>
        <v>-0.6</v>
      </c>
      <c r="F10" s="2">
        <f>IFERROR((VLOOKUP($A10,'18-19 First 20'!$B:$L,6,FALSE)-VLOOKUP($A10,'18-19 First 20'!$B:$L,7,FALSE))/VLOOKUP($A10,'18-19 First 20'!$B:$L,2,FALSE),"")</f>
        <v>-0.3</v>
      </c>
      <c r="G10" s="3">
        <v>8</v>
      </c>
      <c r="H10" s="3">
        <f t="shared" si="0"/>
        <v>11</v>
      </c>
      <c r="I10" s="3">
        <f t="shared" si="1"/>
        <v>19</v>
      </c>
      <c r="J10" s="3">
        <f t="shared" si="2"/>
        <v>19</v>
      </c>
      <c r="K10" s="3">
        <f t="shared" si="3"/>
        <v>14</v>
      </c>
      <c r="L10" s="3">
        <f t="shared" si="4"/>
        <v>9</v>
      </c>
      <c r="M10" s="3">
        <f t="shared" si="5"/>
        <v>3</v>
      </c>
      <c r="N10" s="3">
        <f t="shared" si="6"/>
        <v>11</v>
      </c>
      <c r="O10" s="3">
        <f t="shared" si="7"/>
        <v>11</v>
      </c>
      <c r="P10" s="3">
        <f t="shared" si="8"/>
        <v>6</v>
      </c>
      <c r="Q10" s="3">
        <f t="shared" si="9"/>
        <v>1</v>
      </c>
      <c r="R10" s="3">
        <f t="shared" si="10"/>
        <v>9</v>
      </c>
      <c r="S10" s="3">
        <f t="shared" si="11"/>
        <v>121</v>
      </c>
      <c r="T10" s="3">
        <f t="shared" si="12"/>
        <v>121</v>
      </c>
      <c r="U10" s="3">
        <f t="shared" si="13"/>
        <v>36</v>
      </c>
      <c r="V10" s="3">
        <f t="shared" si="14"/>
        <v>1</v>
      </c>
    </row>
    <row r="11" spans="1:28" x14ac:dyDescent="0.25">
      <c r="A11" t="s">
        <v>21</v>
      </c>
      <c r="B11" s="2">
        <f>IFERROR((VLOOKUP($A11,'17-18'!$B:$L,6,FALSE)-VLOOKUP($A11,'17-18'!$B:$L,7,FALSE))/VLOOKUP($A11,'17-18'!$B:$L,2,FALSE),"")</f>
        <v>-0.52631578947368418</v>
      </c>
      <c r="C11" s="2">
        <f>IFERROR((VLOOKUP($A11,'18-19 First 5'!$B:$L,6,FALSE)-VLOOKUP($A11,'18-19 First 5'!$B:$L,7,FALSE))/VLOOKUP($A11,'18-19 First 5'!$B:$L,2,FALSE),"")</f>
        <v>-0.4</v>
      </c>
      <c r="D11" s="2">
        <f>IFERROR((VLOOKUP($A11,'18-19 First 10'!$B:$L,6,FALSE)-VLOOKUP($A11,'18-19 First 10'!$B:$L,7,FALSE))/VLOOKUP($A11,'18-19 First 10'!$B:$L,2,FALSE),"")</f>
        <v>-0.3</v>
      </c>
      <c r="E11" s="2">
        <f>IFERROR((VLOOKUP($A11,'18-19 First 15'!$B:$L,6,FALSE)-VLOOKUP($A11,'18-19 First 15'!$B:$L,7,FALSE))/VLOOKUP($A11,'18-19 First 15'!$B:$L,2,FALSE),"")</f>
        <v>-6.6666666666666666E-2</v>
      </c>
      <c r="F11" s="2">
        <f>IFERROR((VLOOKUP($A11,'18-19 First 20'!$B:$L,6,FALSE)-VLOOKUP($A11,'18-19 First 20'!$B:$L,7,FALSE))/VLOOKUP($A11,'18-19 First 20'!$B:$L,2,FALSE),"")</f>
        <v>-0.3</v>
      </c>
      <c r="G11" s="3">
        <v>11</v>
      </c>
      <c r="H11" s="3">
        <f t="shared" si="0"/>
        <v>14</v>
      </c>
      <c r="I11" s="3">
        <f t="shared" si="1"/>
        <v>13</v>
      </c>
      <c r="J11" s="3">
        <f t="shared" si="2"/>
        <v>12</v>
      </c>
      <c r="K11" s="3">
        <f t="shared" si="3"/>
        <v>9</v>
      </c>
      <c r="L11" s="3">
        <f t="shared" si="4"/>
        <v>9</v>
      </c>
      <c r="M11" s="3">
        <f t="shared" si="5"/>
        <v>3</v>
      </c>
      <c r="N11" s="3">
        <f t="shared" si="6"/>
        <v>2</v>
      </c>
      <c r="O11" s="3">
        <f t="shared" si="7"/>
        <v>1</v>
      </c>
      <c r="P11" s="3">
        <f t="shared" si="8"/>
        <v>2</v>
      </c>
      <c r="Q11" s="3">
        <f t="shared" si="9"/>
        <v>2</v>
      </c>
      <c r="R11" s="3">
        <f t="shared" si="10"/>
        <v>9</v>
      </c>
      <c r="S11" s="3">
        <f t="shared" si="11"/>
        <v>4</v>
      </c>
      <c r="T11" s="3">
        <f t="shared" si="12"/>
        <v>1</v>
      </c>
      <c r="U11" s="3">
        <f t="shared" si="13"/>
        <v>4</v>
      </c>
      <c r="V11" s="3">
        <f t="shared" si="14"/>
        <v>4</v>
      </c>
    </row>
    <row r="12" spans="1:28" x14ac:dyDescent="0.25">
      <c r="A12" t="s">
        <v>22</v>
      </c>
      <c r="B12" s="2">
        <f>IFERROR((VLOOKUP($A12,'17-18'!$B:$L,6,FALSE)-VLOOKUP($A12,'17-18'!$B:$L,7,FALSE))/VLOOKUP($A12,'17-18'!$B:$L,2,FALSE),"")</f>
        <v>-0.78947368421052633</v>
      </c>
      <c r="C12" s="2">
        <f>IFERROR((VLOOKUP($A12,'18-19 First 5'!$B:$L,6,FALSE)-VLOOKUP($A12,'18-19 First 5'!$B:$L,7,FALSE))/VLOOKUP($A12,'18-19 First 5'!$B:$L,2,FALSE),"")</f>
        <v>0.4</v>
      </c>
      <c r="D12" s="2">
        <f>IFERROR((VLOOKUP($A12,'18-19 First 10'!$B:$L,6,FALSE)-VLOOKUP($A12,'18-19 First 10'!$B:$L,7,FALSE))/VLOOKUP($A12,'18-19 First 10'!$B:$L,2,FALSE),"")</f>
        <v>-0.6</v>
      </c>
      <c r="E12" s="2">
        <f>IFERROR((VLOOKUP($A12,'18-19 First 15'!$B:$L,6,FALSE)-VLOOKUP($A12,'18-19 First 15'!$B:$L,7,FALSE))/VLOOKUP($A12,'18-19 First 15'!$B:$L,2,FALSE),"")</f>
        <v>-1.1333333333333333</v>
      </c>
      <c r="F12" s="2">
        <f>IFERROR((VLOOKUP($A12,'18-19 First 20'!$B:$L,6,FALSE)-VLOOKUP($A12,'18-19 First 20'!$B:$L,7,FALSE))/VLOOKUP($A12,'18-19 First 20'!$B:$L,2,FALSE),"")</f>
        <v>-0.7</v>
      </c>
      <c r="G12" s="3">
        <v>20</v>
      </c>
      <c r="H12" s="3">
        <f t="shared" si="0"/>
        <v>19</v>
      </c>
      <c r="I12" s="3">
        <f t="shared" si="1"/>
        <v>5</v>
      </c>
      <c r="J12" s="3">
        <f t="shared" si="2"/>
        <v>15</v>
      </c>
      <c r="K12" s="3">
        <f t="shared" si="3"/>
        <v>18</v>
      </c>
      <c r="L12" s="3">
        <f t="shared" si="4"/>
        <v>16</v>
      </c>
      <c r="M12" s="3">
        <f t="shared" si="5"/>
        <v>1</v>
      </c>
      <c r="N12" s="3">
        <f t="shared" si="6"/>
        <v>15</v>
      </c>
      <c r="O12" s="3">
        <f t="shared" si="7"/>
        <v>5</v>
      </c>
      <c r="P12" s="3">
        <f t="shared" si="8"/>
        <v>2</v>
      </c>
      <c r="Q12" s="3">
        <f t="shared" si="9"/>
        <v>4</v>
      </c>
      <c r="R12" s="3">
        <f t="shared" si="10"/>
        <v>1</v>
      </c>
      <c r="S12" s="3">
        <f t="shared" si="11"/>
        <v>225</v>
      </c>
      <c r="T12" s="3">
        <f t="shared" si="12"/>
        <v>25</v>
      </c>
      <c r="U12" s="3">
        <f t="shared" si="13"/>
        <v>4</v>
      </c>
      <c r="V12" s="3">
        <f t="shared" si="14"/>
        <v>16</v>
      </c>
    </row>
    <row r="13" spans="1:28" x14ac:dyDescent="0.25">
      <c r="A13" t="s">
        <v>23</v>
      </c>
      <c r="B13" s="2">
        <f>IFERROR((VLOOKUP($A13,'17-18'!$B:$L,6,FALSE)-VLOOKUP($A13,'17-18'!$B:$L,7,FALSE))/VLOOKUP($A13,'17-18'!$B:$L,2,FALSE),"")</f>
        <v>-0.52631578947368418</v>
      </c>
      <c r="C13" s="2">
        <f>IFERROR((VLOOKUP($A13,'18-19 First 5'!$B:$L,6,FALSE)-VLOOKUP($A13,'18-19 First 5'!$B:$L,7,FALSE))/VLOOKUP($A13,'18-19 First 5'!$B:$L,2,FALSE),"")</f>
        <v>-0.6</v>
      </c>
      <c r="D13" s="2">
        <f>IFERROR((VLOOKUP($A13,'18-19 First 10'!$B:$L,6,FALSE)-VLOOKUP($A13,'18-19 First 10'!$B:$L,7,FALSE))/VLOOKUP($A13,'18-19 First 10'!$B:$L,2,FALSE),"")</f>
        <v>-0.1</v>
      </c>
      <c r="E13" s="2">
        <f>IFERROR((VLOOKUP($A13,'18-19 First 15'!$B:$L,6,FALSE)-VLOOKUP($A13,'18-19 First 15'!$B:$L,7,FALSE))/VLOOKUP($A13,'18-19 First 15'!$B:$L,2,FALSE),"")</f>
        <v>-0.33333333333333331</v>
      </c>
      <c r="F13" s="2">
        <f>IFERROR((VLOOKUP($A13,'18-19 First 20'!$B:$L,6,FALSE)-VLOOKUP($A13,'18-19 First 20'!$B:$L,7,FALSE))/VLOOKUP($A13,'18-19 First 20'!$B:$L,2,FALSE),"")</f>
        <v>-0.5</v>
      </c>
      <c r="G13" s="3">
        <v>17</v>
      </c>
      <c r="H13" s="3">
        <f t="shared" si="0"/>
        <v>14</v>
      </c>
      <c r="I13" s="3">
        <f t="shared" si="1"/>
        <v>15</v>
      </c>
      <c r="J13" s="3">
        <f t="shared" si="2"/>
        <v>10</v>
      </c>
      <c r="K13" s="3">
        <f t="shared" si="3"/>
        <v>12</v>
      </c>
      <c r="L13" s="3">
        <f t="shared" si="4"/>
        <v>11</v>
      </c>
      <c r="M13" s="3">
        <f t="shared" si="5"/>
        <v>3</v>
      </c>
      <c r="N13" s="3">
        <f t="shared" si="6"/>
        <v>2</v>
      </c>
      <c r="O13" s="3">
        <f t="shared" si="7"/>
        <v>7</v>
      </c>
      <c r="P13" s="3">
        <f t="shared" si="8"/>
        <v>5</v>
      </c>
      <c r="Q13" s="3">
        <f t="shared" si="9"/>
        <v>6</v>
      </c>
      <c r="R13" s="3">
        <f t="shared" si="10"/>
        <v>9</v>
      </c>
      <c r="S13" s="3">
        <f t="shared" si="11"/>
        <v>4</v>
      </c>
      <c r="T13" s="3">
        <f t="shared" si="12"/>
        <v>49</v>
      </c>
      <c r="U13" s="3">
        <f t="shared" si="13"/>
        <v>25</v>
      </c>
      <c r="V13" s="3">
        <f t="shared" si="14"/>
        <v>36</v>
      </c>
    </row>
    <row r="14" spans="1:28" x14ac:dyDescent="0.25">
      <c r="A14" t="s">
        <v>24</v>
      </c>
      <c r="B14" s="2">
        <f>IFERROR((VLOOKUP($A14,'17-18'!$B:$L,6,FALSE)-VLOOKUP($A14,'17-18'!$B:$L,7,FALSE))/VLOOKUP($A14,'17-18'!$B:$L,2,FALSE),"")</f>
        <v>-0.86842105263157898</v>
      </c>
      <c r="C14" s="2">
        <f>IFERROR((VLOOKUP($A14,'18-19 First 5'!$B:$L,6,FALSE)-VLOOKUP($A14,'18-19 First 5'!$B:$L,7,FALSE))/VLOOKUP($A14,'18-19 First 5'!$B:$L,2,FALSE),"")</f>
        <v>-0.2</v>
      </c>
      <c r="D14" s="2">
        <f>IFERROR((VLOOKUP($A14,'18-19 First 10'!$B:$L,6,FALSE)-VLOOKUP($A14,'18-19 First 10'!$B:$L,7,FALSE))/VLOOKUP($A14,'18-19 First 10'!$B:$L,2,FALSE),"")</f>
        <v>-0.9</v>
      </c>
      <c r="E14" s="2">
        <f>IFERROR((VLOOKUP($A14,'18-19 First 15'!$B:$L,6,FALSE)-VLOOKUP($A14,'18-19 First 15'!$B:$L,7,FALSE))/VLOOKUP($A14,'18-19 First 15'!$B:$L,2,FALSE),"")</f>
        <v>-0.8</v>
      </c>
      <c r="F14" s="2">
        <f>IFERROR((VLOOKUP($A14,'18-19 First 20'!$B:$L,6,FALSE)-VLOOKUP($A14,'18-19 First 20'!$B:$L,7,FALSE))/VLOOKUP($A14,'18-19 First 20'!$B:$L,2,FALSE),"")</f>
        <v>-0.9</v>
      </c>
      <c r="G14" s="3"/>
      <c r="H14" s="3">
        <f t="shared" si="0"/>
        <v>20</v>
      </c>
      <c r="I14" s="3">
        <f t="shared" si="1"/>
        <v>11</v>
      </c>
      <c r="J14" s="3">
        <f t="shared" si="2"/>
        <v>17</v>
      </c>
      <c r="K14" s="3">
        <f t="shared" si="3"/>
        <v>17</v>
      </c>
      <c r="L14" s="3">
        <f t="shared" si="4"/>
        <v>19</v>
      </c>
      <c r="M14" s="3">
        <f t="shared" si="5"/>
        <v>20</v>
      </c>
      <c r="N14" s="3">
        <f t="shared" si="6"/>
        <v>11</v>
      </c>
      <c r="O14" s="3">
        <f t="shared" si="7"/>
        <v>17</v>
      </c>
      <c r="P14" s="3">
        <f t="shared" si="8"/>
        <v>17</v>
      </c>
      <c r="Q14" s="3">
        <f t="shared" si="9"/>
        <v>19</v>
      </c>
      <c r="R14" s="3">
        <f t="shared" si="10"/>
        <v>400</v>
      </c>
      <c r="S14" s="3">
        <f t="shared" si="11"/>
        <v>121</v>
      </c>
      <c r="T14" s="3">
        <f t="shared" si="12"/>
        <v>289</v>
      </c>
      <c r="U14" s="3">
        <f t="shared" si="13"/>
        <v>289</v>
      </c>
      <c r="V14" s="3">
        <f t="shared" si="14"/>
        <v>361</v>
      </c>
    </row>
    <row r="15" spans="1:28" x14ac:dyDescent="0.25">
      <c r="A15" t="s">
        <v>25</v>
      </c>
      <c r="B15" s="2">
        <f>IFERROR((VLOOKUP($A15,'17-18'!$B:$L,6,FALSE)-VLOOKUP($A15,'17-18'!$B:$L,7,FALSE))/VLOOKUP($A15,'17-18'!$B:$L,2,FALSE),"")</f>
        <v>-0.5</v>
      </c>
      <c r="C15" s="2">
        <f>IFERROR((VLOOKUP($A15,'18-19 First 5'!$B:$L,6,FALSE)-VLOOKUP($A15,'18-19 First 5'!$B:$L,7,FALSE))/VLOOKUP($A15,'18-19 First 5'!$B:$L,2,FALSE),"")</f>
        <v>0</v>
      </c>
      <c r="D15" s="2">
        <f>IFERROR((VLOOKUP($A15,'18-19 First 10'!$B:$L,6,FALSE)-VLOOKUP($A15,'18-19 First 10'!$B:$L,7,FALSE))/VLOOKUP($A15,'18-19 First 10'!$B:$L,2,FALSE),"")</f>
        <v>-0.1</v>
      </c>
      <c r="E15" s="2">
        <f>IFERROR((VLOOKUP($A15,'18-19 First 15'!$B:$L,6,FALSE)-VLOOKUP($A15,'18-19 First 15'!$B:$L,7,FALSE))/VLOOKUP($A15,'18-19 First 15'!$B:$L,2,FALSE),"")</f>
        <v>-0.2</v>
      </c>
      <c r="F15" s="2">
        <f>IFERROR((VLOOKUP($A15,'18-19 First 20'!$B:$L,6,FALSE)-VLOOKUP($A15,'18-19 First 20'!$B:$L,7,FALSE))/VLOOKUP($A15,'18-19 First 20'!$B:$L,2,FALSE),"")</f>
        <v>-0.5</v>
      </c>
      <c r="G15" s="3">
        <v>16</v>
      </c>
      <c r="H15" s="3">
        <f t="shared" si="0"/>
        <v>13</v>
      </c>
      <c r="I15" s="3">
        <f t="shared" si="1"/>
        <v>8</v>
      </c>
      <c r="J15" s="3">
        <f t="shared" si="2"/>
        <v>10</v>
      </c>
      <c r="K15" s="3">
        <f t="shared" si="3"/>
        <v>10</v>
      </c>
      <c r="L15" s="3">
        <f t="shared" si="4"/>
        <v>11</v>
      </c>
      <c r="M15" s="3">
        <f t="shared" si="5"/>
        <v>3</v>
      </c>
      <c r="N15" s="3">
        <f t="shared" si="6"/>
        <v>8</v>
      </c>
      <c r="O15" s="3">
        <f t="shared" si="7"/>
        <v>6</v>
      </c>
      <c r="P15" s="3">
        <f t="shared" si="8"/>
        <v>6</v>
      </c>
      <c r="Q15" s="3">
        <f t="shared" si="9"/>
        <v>5</v>
      </c>
      <c r="R15" s="3">
        <f t="shared" si="10"/>
        <v>9</v>
      </c>
      <c r="S15" s="3">
        <f t="shared" si="11"/>
        <v>64</v>
      </c>
      <c r="T15" s="3">
        <f t="shared" si="12"/>
        <v>36</v>
      </c>
      <c r="U15" s="3">
        <f t="shared" si="13"/>
        <v>36</v>
      </c>
      <c r="V15" s="3">
        <f t="shared" si="14"/>
        <v>25</v>
      </c>
    </row>
    <row r="16" spans="1:28" x14ac:dyDescent="0.25">
      <c r="A16" t="s">
        <v>26</v>
      </c>
      <c r="B16" s="2">
        <f>IFERROR((VLOOKUP($A16,'17-18'!$B:$L,6,FALSE)-VLOOKUP($A16,'17-18'!$B:$L,7,FALSE))/VLOOKUP($A16,'17-18'!$B:$L,2,FALSE),"")</f>
        <v>-0.21052631578947367</v>
      </c>
      <c r="C16" s="2">
        <f>IFERROR((VLOOKUP($A16,'18-19 First 5'!$B:$L,6,FALSE)-VLOOKUP($A16,'18-19 First 5'!$B:$L,7,FALSE))/VLOOKUP($A16,'18-19 First 5'!$B:$L,2,FALSE),"")</f>
        <v>0.4</v>
      </c>
      <c r="D16" s="2">
        <f>IFERROR((VLOOKUP($A16,'18-19 First 10'!$B:$L,6,FALSE)-VLOOKUP($A16,'18-19 First 10'!$B:$L,7,FALSE))/VLOOKUP($A16,'18-19 First 10'!$B:$L,2,FALSE),"")</f>
        <v>0.1</v>
      </c>
      <c r="E16" s="2">
        <f>IFERROR((VLOOKUP($A16,'18-19 First 15'!$B:$L,6,FALSE)-VLOOKUP($A16,'18-19 First 15'!$B:$L,7,FALSE))/VLOOKUP($A16,'18-19 First 15'!$B:$L,2,FALSE),"")</f>
        <v>-0.53333333333333333</v>
      </c>
      <c r="F16" s="2">
        <f>IFERROR((VLOOKUP($A16,'18-19 First 20'!$B:$L,6,FALSE)-VLOOKUP($A16,'18-19 First 20'!$B:$L,7,FALSE))/VLOOKUP($A16,'18-19 First 20'!$B:$L,2,FALSE),"")</f>
        <v>-0.55000000000000004</v>
      </c>
      <c r="G16" s="3">
        <v>13</v>
      </c>
      <c r="H16" s="3">
        <f t="shared" si="0"/>
        <v>9</v>
      </c>
      <c r="I16" s="3">
        <f t="shared" si="1"/>
        <v>5</v>
      </c>
      <c r="J16" s="3">
        <f t="shared" si="2"/>
        <v>6</v>
      </c>
      <c r="K16" s="3">
        <f t="shared" si="3"/>
        <v>13</v>
      </c>
      <c r="L16" s="3">
        <f t="shared" si="4"/>
        <v>13</v>
      </c>
      <c r="M16" s="3">
        <f t="shared" si="5"/>
        <v>4</v>
      </c>
      <c r="N16" s="3">
        <f t="shared" si="6"/>
        <v>8</v>
      </c>
      <c r="O16" s="3">
        <f t="shared" si="7"/>
        <v>7</v>
      </c>
      <c r="P16" s="3">
        <f t="shared" si="8"/>
        <v>0</v>
      </c>
      <c r="Q16" s="3">
        <f t="shared" si="9"/>
        <v>0</v>
      </c>
      <c r="R16" s="3">
        <f t="shared" si="10"/>
        <v>16</v>
      </c>
      <c r="S16" s="3">
        <f t="shared" si="11"/>
        <v>64</v>
      </c>
      <c r="T16" s="3">
        <f t="shared" si="12"/>
        <v>49</v>
      </c>
      <c r="U16" s="3">
        <f t="shared" si="13"/>
        <v>0</v>
      </c>
      <c r="V16" s="3">
        <f t="shared" si="14"/>
        <v>0</v>
      </c>
    </row>
    <row r="17" spans="1:22" x14ac:dyDescent="0.25">
      <c r="A17" t="s">
        <v>27</v>
      </c>
      <c r="B17" s="2">
        <f>IFERROR((VLOOKUP($A17,'17-18'!$B:$L,6,FALSE)-VLOOKUP($A17,'17-18'!$B:$L,7,FALSE))/VLOOKUP($A17,'17-18'!$B:$L,2,FALSE),"")</f>
        <v>-0.26315789473684209</v>
      </c>
      <c r="C17" s="2">
        <f>IFERROR((VLOOKUP($A17,'18-19 First 5'!$B:$L,6,FALSE)-VLOOKUP($A17,'18-19 First 5'!$B:$L,7,FALSE))/VLOOKUP($A17,'18-19 First 5'!$B:$L,2,FALSE),"")</f>
        <v>-1.6</v>
      </c>
      <c r="D17" s="2">
        <f>IFERROR((VLOOKUP($A17,'18-19 First 10'!$B:$L,6,FALSE)-VLOOKUP($A17,'18-19 First 10'!$B:$L,7,FALSE))/VLOOKUP($A17,'18-19 First 10'!$B:$L,2,FALSE),"")</f>
        <v>-1.7</v>
      </c>
      <c r="E17" s="2">
        <f>IFERROR((VLOOKUP($A17,'18-19 First 15'!$B:$L,6,FALSE)-VLOOKUP($A17,'18-19 First 15'!$B:$L,7,FALSE))/VLOOKUP($A17,'18-19 First 15'!$B:$L,2,FALSE),"")</f>
        <v>-1.1333333333333333</v>
      </c>
      <c r="F17" s="2">
        <f>IFERROR((VLOOKUP($A17,'18-19 First 20'!$B:$L,6,FALSE)-VLOOKUP($A17,'18-19 First 20'!$B:$L,7,FALSE))/VLOOKUP($A17,'18-19 First 20'!$B:$L,2,FALSE),"")</f>
        <v>-0.7</v>
      </c>
      <c r="G17" s="3">
        <v>12</v>
      </c>
      <c r="H17" s="3">
        <f t="shared" si="0"/>
        <v>10</v>
      </c>
      <c r="I17" s="3">
        <f t="shared" si="1"/>
        <v>19</v>
      </c>
      <c r="J17" s="3">
        <f t="shared" si="2"/>
        <v>20</v>
      </c>
      <c r="K17" s="3">
        <f t="shared" si="3"/>
        <v>18</v>
      </c>
      <c r="L17" s="3">
        <f t="shared" si="4"/>
        <v>16</v>
      </c>
      <c r="M17" s="3">
        <f t="shared" si="5"/>
        <v>2</v>
      </c>
      <c r="N17" s="3">
        <f t="shared" si="6"/>
        <v>7</v>
      </c>
      <c r="O17" s="3">
        <f t="shared" si="7"/>
        <v>8</v>
      </c>
      <c r="P17" s="3">
        <f t="shared" si="8"/>
        <v>6</v>
      </c>
      <c r="Q17" s="3">
        <f t="shared" si="9"/>
        <v>4</v>
      </c>
      <c r="R17" s="3">
        <f t="shared" si="10"/>
        <v>4</v>
      </c>
      <c r="S17" s="3">
        <f t="shared" si="11"/>
        <v>49</v>
      </c>
      <c r="T17" s="3">
        <f t="shared" si="12"/>
        <v>64</v>
      </c>
      <c r="U17" s="3">
        <f t="shared" si="13"/>
        <v>36</v>
      </c>
      <c r="V17" s="3">
        <f t="shared" si="14"/>
        <v>16</v>
      </c>
    </row>
    <row r="18" spans="1:22" x14ac:dyDescent="0.25">
      <c r="A18" t="s">
        <v>28</v>
      </c>
      <c r="B18" s="2">
        <f>IFERROR((VLOOKUP($A18,'17-18'!$B:$L,6,FALSE)-VLOOKUP($A18,'17-18'!$B:$L,7,FALSE))/VLOOKUP($A18,'17-18'!$B:$L,2,FALSE),"")</f>
        <v>-0.52631578947368418</v>
      </c>
      <c r="C18" s="2">
        <f>IFERROR((VLOOKUP($A18,'18-19 First 5'!$B:$L,6,FALSE)-VLOOKUP($A18,'18-19 First 5'!$B:$L,7,FALSE))/VLOOKUP($A18,'18-19 First 5'!$B:$L,2,FALSE),"")</f>
        <v>-1.2</v>
      </c>
      <c r="D18" s="2">
        <f>IFERROR((VLOOKUP($A18,'18-19 First 10'!$B:$L,6,FALSE)-VLOOKUP($A18,'18-19 First 10'!$B:$L,7,FALSE))/VLOOKUP($A18,'18-19 First 10'!$B:$L,2,FALSE),"")</f>
        <v>-0.9</v>
      </c>
      <c r="E18" s="2">
        <f>IFERROR((VLOOKUP($A18,'18-19 First 15'!$B:$L,6,FALSE)-VLOOKUP($A18,'18-19 First 15'!$B:$L,7,FALSE))/VLOOKUP($A18,'18-19 First 15'!$B:$L,2,FALSE),"")</f>
        <v>-1.2666666666666666</v>
      </c>
      <c r="F18" s="2">
        <f>IFERROR((VLOOKUP($A18,'18-19 First 20'!$B:$L,6,FALSE)-VLOOKUP($A18,'18-19 First 20'!$B:$L,7,FALSE))/VLOOKUP($A18,'18-19 First 20'!$B:$L,2,FALSE),"")</f>
        <v>-0.8</v>
      </c>
      <c r="G18" s="3">
        <v>10</v>
      </c>
      <c r="H18" s="3">
        <f t="shared" si="0"/>
        <v>14</v>
      </c>
      <c r="I18" s="3">
        <f t="shared" si="1"/>
        <v>17</v>
      </c>
      <c r="J18" s="3">
        <f t="shared" si="2"/>
        <v>17</v>
      </c>
      <c r="K18" s="3">
        <f t="shared" si="3"/>
        <v>20</v>
      </c>
      <c r="L18" s="3">
        <f t="shared" si="4"/>
        <v>18</v>
      </c>
      <c r="M18" s="3">
        <f t="shared" si="5"/>
        <v>4</v>
      </c>
      <c r="N18" s="3">
        <f t="shared" si="6"/>
        <v>7</v>
      </c>
      <c r="O18" s="3">
        <f t="shared" si="7"/>
        <v>7</v>
      </c>
      <c r="P18" s="3">
        <f t="shared" si="8"/>
        <v>10</v>
      </c>
      <c r="Q18" s="3">
        <f t="shared" si="9"/>
        <v>8</v>
      </c>
      <c r="R18" s="3">
        <f t="shared" si="10"/>
        <v>16</v>
      </c>
      <c r="S18" s="3">
        <f t="shared" si="11"/>
        <v>49</v>
      </c>
      <c r="T18" s="3">
        <f t="shared" si="12"/>
        <v>49</v>
      </c>
      <c r="U18" s="3">
        <f t="shared" si="13"/>
        <v>100</v>
      </c>
      <c r="V18" s="3">
        <f t="shared" si="14"/>
        <v>64</v>
      </c>
    </row>
    <row r="19" spans="1:22" x14ac:dyDescent="0.25">
      <c r="A19" s="5" t="s">
        <v>29</v>
      </c>
      <c r="B19" s="6">
        <f>IFERROR((VLOOKUP($A19,'17-18'!$B:$L,6,FALSE)-VLOOKUP($A19,'17-18'!$B:$L,7,FALSE))/VLOOKUP($A19,'17-18'!$B:$L,2,FALSE),"")</f>
        <v>-0.42105263157894735</v>
      </c>
      <c r="C19" s="6">
        <f>IFERROR((VLOOKUP($A19,'18-19 First 5'!$B:$L,6,FALSE)-VLOOKUP($A19,'18-19 First 5'!$B:$L,7,FALSE))/VLOOKUP($A19,'18-19 First 5'!$B:$L,2,FALSE),"")</f>
        <v>-1.2</v>
      </c>
      <c r="D19" s="6">
        <f>IFERROR((VLOOKUP($A19,'18-19 First 10'!$B:$L,6,FALSE)-VLOOKUP($A19,'18-19 First 10'!$B:$L,7,FALSE))/VLOOKUP($A19,'18-19 First 10'!$B:$L,2,FALSE),"")</f>
        <v>-0.8</v>
      </c>
      <c r="E19" s="6">
        <f>IFERROR((VLOOKUP($A19,'18-19 First 15'!$B:$L,6,FALSE)-VLOOKUP($A19,'18-19 First 15'!$B:$L,7,FALSE))/VLOOKUP($A19,'18-19 First 15'!$B:$L,2,FALSE),"")</f>
        <v>-0.26666666666666666</v>
      </c>
      <c r="F19" s="6">
        <f>IFERROR((VLOOKUP($A19,'18-19 First 20'!$B:$L,6,FALSE)-VLOOKUP($A19,'18-19 First 20'!$B:$L,7,FALSE))/VLOOKUP($A19,'18-19 First 20'!$B:$L,2,FALSE),"")</f>
        <v>-0.65</v>
      </c>
      <c r="G19" s="7">
        <v>14</v>
      </c>
      <c r="H19" s="3">
        <f t="shared" si="0"/>
        <v>12</v>
      </c>
      <c r="I19" s="3">
        <f t="shared" si="1"/>
        <v>17</v>
      </c>
      <c r="J19" s="3">
        <f t="shared" si="2"/>
        <v>16</v>
      </c>
      <c r="K19" s="3">
        <f t="shared" si="3"/>
        <v>11</v>
      </c>
      <c r="L19" s="3">
        <f t="shared" si="4"/>
        <v>14</v>
      </c>
      <c r="M19" s="3">
        <f t="shared" si="5"/>
        <v>2</v>
      </c>
      <c r="N19" s="3">
        <f t="shared" si="6"/>
        <v>3</v>
      </c>
      <c r="O19" s="3">
        <f t="shared" si="7"/>
        <v>2</v>
      </c>
      <c r="P19" s="3">
        <f t="shared" si="8"/>
        <v>3</v>
      </c>
      <c r="Q19" s="3">
        <f t="shared" si="9"/>
        <v>0</v>
      </c>
      <c r="R19" s="3">
        <f t="shared" si="10"/>
        <v>4</v>
      </c>
      <c r="S19" s="3">
        <f t="shared" si="11"/>
        <v>9</v>
      </c>
      <c r="T19" s="3">
        <f t="shared" si="12"/>
        <v>4</v>
      </c>
      <c r="U19" s="3">
        <f t="shared" si="13"/>
        <v>9</v>
      </c>
      <c r="V19" s="3">
        <f t="shared" si="14"/>
        <v>0</v>
      </c>
    </row>
    <row r="20" spans="1:22" x14ac:dyDescent="0.25">
      <c r="A20" s="5" t="s">
        <v>30</v>
      </c>
      <c r="B20" s="6">
        <f>IFERROR((VLOOKUP($A20,'17-18'!$B:$L,6,FALSE)-VLOOKUP($A20,'17-18'!$B:$L,7,FALSE))/VLOOKUP($A20,'17-18'!$B:$L,2,FALSE),"")</f>
        <v>-0.65789473684210531</v>
      </c>
      <c r="C20" s="6">
        <f>IFERROR((VLOOKUP($A20,'18-19 First 5'!$B:$L,6,FALSE)-VLOOKUP($A20,'18-19 First 5'!$B:$L,7,FALSE))/VLOOKUP($A20,'18-19 First 5'!$B:$L,2,FALSE),"")</f>
        <v>0</v>
      </c>
      <c r="D20" s="6">
        <f>IFERROR((VLOOKUP($A20,'18-19 First 10'!$B:$L,6,FALSE)-VLOOKUP($A20,'18-19 First 10'!$B:$L,7,FALSE))/VLOOKUP($A20,'18-19 First 10'!$B:$L,2,FALSE),"")</f>
        <v>-0.4</v>
      </c>
      <c r="E20" s="6">
        <f>IFERROR((VLOOKUP($A20,'18-19 First 15'!$B:$L,6,FALSE)-VLOOKUP($A20,'18-19 First 15'!$B:$L,7,FALSE))/VLOOKUP($A20,'18-19 First 15'!$B:$L,2,FALSE),"")</f>
        <v>-0.6</v>
      </c>
      <c r="F20" s="6">
        <f>IFERROR((VLOOKUP($A20,'18-19 First 20'!$B:$L,6,FALSE)-VLOOKUP($A20,'18-19 First 20'!$B:$L,7,FALSE))/VLOOKUP($A20,'18-19 First 20'!$B:$L,2,FALSE),"")</f>
        <v>-0.65</v>
      </c>
      <c r="G20" s="7"/>
      <c r="H20" s="3">
        <f t="shared" si="0"/>
        <v>17</v>
      </c>
      <c r="I20" s="3">
        <f t="shared" si="1"/>
        <v>8</v>
      </c>
      <c r="J20" s="3">
        <f t="shared" si="2"/>
        <v>13</v>
      </c>
      <c r="K20" s="3">
        <f t="shared" si="3"/>
        <v>14</v>
      </c>
      <c r="L20" s="3">
        <f t="shared" si="4"/>
        <v>14</v>
      </c>
      <c r="M20" s="3">
        <f t="shared" si="5"/>
        <v>17</v>
      </c>
      <c r="N20" s="3">
        <f t="shared" si="6"/>
        <v>8</v>
      </c>
      <c r="O20" s="3">
        <f t="shared" si="7"/>
        <v>13</v>
      </c>
      <c r="P20" s="3">
        <f t="shared" si="8"/>
        <v>14</v>
      </c>
      <c r="Q20" s="3">
        <f t="shared" si="9"/>
        <v>14</v>
      </c>
      <c r="R20" s="3">
        <f t="shared" si="10"/>
        <v>289</v>
      </c>
      <c r="S20" s="3">
        <f t="shared" si="11"/>
        <v>64</v>
      </c>
      <c r="T20" s="3">
        <f t="shared" si="12"/>
        <v>169</v>
      </c>
      <c r="U20" s="3">
        <f t="shared" si="13"/>
        <v>196</v>
      </c>
      <c r="V20" s="3">
        <f t="shared" si="14"/>
        <v>196</v>
      </c>
    </row>
    <row r="21" spans="1:22" x14ac:dyDescent="0.25">
      <c r="A21" s="5" t="s">
        <v>31</v>
      </c>
      <c r="B21" s="6">
        <f>IFERROR((VLOOKUP($A21,'17-18'!$B:$L,6,FALSE)-VLOOKUP($A21,'17-18'!$B:$L,7,FALSE))/VLOOKUP($A21,'17-18'!$B:$L,2,FALSE),"")</f>
        <v>-0.73684210526315785</v>
      </c>
      <c r="C21" s="6">
        <f>IFERROR((VLOOKUP($A21,'18-19 First 5'!$B:$L,6,FALSE)-VLOOKUP($A21,'18-19 First 5'!$B:$L,7,FALSE))/VLOOKUP($A21,'18-19 First 5'!$B:$L,2,FALSE),"")</f>
        <v>-0.6</v>
      </c>
      <c r="D21" s="6">
        <f>IFERROR((VLOOKUP($A21,'18-19 First 10'!$B:$L,6,FALSE)-VLOOKUP($A21,'18-19 First 10'!$B:$L,7,FALSE))/VLOOKUP($A21,'18-19 First 10'!$B:$L,2,FALSE),"")</f>
        <v>-0.5</v>
      </c>
      <c r="E21" s="6">
        <f>IFERROR((VLOOKUP($A21,'18-19 First 15'!$B:$L,6,FALSE)-VLOOKUP($A21,'18-19 First 15'!$B:$L,7,FALSE))/VLOOKUP($A21,'18-19 First 15'!$B:$L,2,FALSE),"")</f>
        <v>-0.66666666666666663</v>
      </c>
      <c r="F21" s="6">
        <f>IFERROR((VLOOKUP($A21,'18-19 First 20'!$B:$L,6,FALSE)-VLOOKUP($A21,'18-19 First 20'!$B:$L,7,FALSE))/VLOOKUP($A21,'18-19 First 20'!$B:$L,2,FALSE),"")</f>
        <v>-1</v>
      </c>
      <c r="G21" s="7"/>
      <c r="H21" s="3">
        <f t="shared" si="0"/>
        <v>18</v>
      </c>
      <c r="I21" s="3">
        <f t="shared" si="1"/>
        <v>15</v>
      </c>
      <c r="J21" s="3">
        <f t="shared" si="2"/>
        <v>14</v>
      </c>
      <c r="K21" s="3">
        <f t="shared" si="3"/>
        <v>16</v>
      </c>
      <c r="L21" s="3">
        <f t="shared" si="4"/>
        <v>20</v>
      </c>
      <c r="M21" s="3">
        <f t="shared" si="5"/>
        <v>18</v>
      </c>
      <c r="N21" s="3">
        <f t="shared" si="6"/>
        <v>15</v>
      </c>
      <c r="O21" s="3">
        <f t="shared" si="7"/>
        <v>14</v>
      </c>
      <c r="P21" s="3">
        <f t="shared" si="8"/>
        <v>16</v>
      </c>
      <c r="Q21" s="3">
        <f t="shared" si="9"/>
        <v>20</v>
      </c>
      <c r="R21" s="3">
        <f t="shared" si="10"/>
        <v>324</v>
      </c>
      <c r="S21" s="3">
        <f t="shared" si="11"/>
        <v>225</v>
      </c>
      <c r="T21" s="3">
        <f t="shared" si="12"/>
        <v>196</v>
      </c>
      <c r="U21" s="3">
        <f t="shared" si="13"/>
        <v>256</v>
      </c>
      <c r="V21" s="3">
        <f t="shared" si="14"/>
        <v>400</v>
      </c>
    </row>
  </sheetData>
  <phoneticPr fontId="1" type="noConversion"/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17-18</vt:lpstr>
      <vt:lpstr>18-19 First 5</vt:lpstr>
      <vt:lpstr>18-19 First 10</vt:lpstr>
      <vt:lpstr>18-19 First 15</vt:lpstr>
      <vt:lpstr>18-19 First 20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Xiwen Hu</cp:lastModifiedBy>
  <dcterms:created xsi:type="dcterms:W3CDTF">2026-04-27T18:49:10Z</dcterms:created>
  <dcterms:modified xsi:type="dcterms:W3CDTF">2026-04-28T18:53:07Z</dcterms:modified>
</cp:coreProperties>
</file>