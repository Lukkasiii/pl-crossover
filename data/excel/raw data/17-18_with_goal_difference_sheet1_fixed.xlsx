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d026f62d86b2a/Desktop/Final Presentation/raw data/"/>
    </mc:Choice>
  </mc:AlternateContent>
  <xr:revisionPtr revIDLastSave="20" documentId="11_7B1CDF71FA312A067FE320C95FB54C40C354465F" xr6:coauthVersionLast="47" xr6:coauthVersionMax="47" xr10:uidLastSave="{1208C53A-9FC3-4EBD-A2E9-C0C794D216F8}"/>
  <bookViews>
    <workbookView xWindow="-110" yWindow="-110" windowWidth="25820" windowHeight="15500" activeTab="5" xr2:uid="{00000000-000D-0000-FFFF-FFFF00000000}"/>
  </bookViews>
  <sheets>
    <sheet name="16-17" sheetId="1" r:id="rId1"/>
    <sheet name="17-18 First 5" sheetId="2" r:id="rId2"/>
    <sheet name="17-18 First 10" sheetId="3" r:id="rId3"/>
    <sheet name="17-18 First 15" sheetId="4" r:id="rId4"/>
    <sheet name="17-18 First 20" sheetId="5" r:id="rId5"/>
    <sheet name="Summary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C21" i="6"/>
  <c r="B21" i="6"/>
  <c r="F20" i="6"/>
  <c r="E20" i="6"/>
  <c r="D20" i="6"/>
  <c r="C20" i="6"/>
  <c r="B20" i="6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H16" i="6" s="1"/>
  <c r="M16" i="6" s="1"/>
  <c r="R16" i="6" s="1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H13" i="6" s="1"/>
  <c r="M13" i="6" s="1"/>
  <c r="R13" i="6" s="1"/>
  <c r="F12" i="6"/>
  <c r="E12" i="6"/>
  <c r="D12" i="6"/>
  <c r="C12" i="6"/>
  <c r="B12" i="6"/>
  <c r="H12" i="6" s="1"/>
  <c r="M12" i="6" s="1"/>
  <c r="R12" i="6" s="1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J9" i="6" l="1"/>
  <c r="O9" i="6" s="1"/>
  <c r="T9" i="6" s="1"/>
  <c r="H5" i="6"/>
  <c r="M5" i="6" s="1"/>
  <c r="R5" i="6" s="1"/>
  <c r="I5" i="6"/>
  <c r="N5" i="6" s="1"/>
  <c r="S5" i="6" s="1"/>
  <c r="L4" i="6"/>
  <c r="Q4" i="6" s="1"/>
  <c r="V4" i="6" s="1"/>
  <c r="L21" i="6"/>
  <c r="Q21" i="6" s="1"/>
  <c r="V21" i="6" s="1"/>
  <c r="K21" i="6"/>
  <c r="P21" i="6" s="1"/>
  <c r="U21" i="6" s="1"/>
  <c r="J21" i="6"/>
  <c r="O21" i="6" s="1"/>
  <c r="T21" i="6" s="1"/>
  <c r="I21" i="6"/>
  <c r="N21" i="6" s="1"/>
  <c r="S21" i="6" s="1"/>
  <c r="H21" i="6"/>
  <c r="M21" i="6" s="1"/>
  <c r="R21" i="6" s="1"/>
  <c r="L20" i="6"/>
  <c r="Q20" i="6" s="1"/>
  <c r="V20" i="6" s="1"/>
  <c r="K20" i="6"/>
  <c r="P20" i="6" s="1"/>
  <c r="U20" i="6" s="1"/>
  <c r="J18" i="6"/>
  <c r="O18" i="6" s="1"/>
  <c r="T18" i="6" s="1"/>
  <c r="K11" i="6"/>
  <c r="P11" i="6" s="1"/>
  <c r="U11" i="6" s="1"/>
  <c r="K17" i="6"/>
  <c r="P17" i="6" s="1"/>
  <c r="U17" i="6" s="1"/>
  <c r="J17" i="6"/>
  <c r="O17" i="6" s="1"/>
  <c r="T17" i="6" s="1"/>
  <c r="I17" i="6"/>
  <c r="N17" i="6" s="1"/>
  <c r="S17" i="6" s="1"/>
  <c r="H17" i="6"/>
  <c r="M17" i="6" s="1"/>
  <c r="R17" i="6" s="1"/>
  <c r="L16" i="6"/>
  <c r="Q16" i="6" s="1"/>
  <c r="V16" i="6" s="1"/>
  <c r="K16" i="6"/>
  <c r="P16" i="6" s="1"/>
  <c r="U16" i="6" s="1"/>
  <c r="J16" i="6"/>
  <c r="O16" i="6" s="1"/>
  <c r="T16" i="6" s="1"/>
  <c r="I16" i="6"/>
  <c r="N16" i="6" s="1"/>
  <c r="S16" i="6" s="1"/>
  <c r="L15" i="6"/>
  <c r="Q15" i="6" s="1"/>
  <c r="V15" i="6" s="1"/>
  <c r="K15" i="6"/>
  <c r="P15" i="6" s="1"/>
  <c r="U15" i="6" s="1"/>
  <c r="J15" i="6"/>
  <c r="O15" i="6" s="1"/>
  <c r="T15" i="6" s="1"/>
  <c r="I15" i="6"/>
  <c r="N15" i="6" s="1"/>
  <c r="S15" i="6" s="1"/>
  <c r="L14" i="6"/>
  <c r="Q14" i="6" s="1"/>
  <c r="V14" i="6" s="1"/>
  <c r="H11" i="6"/>
  <c r="M11" i="6" s="1"/>
  <c r="R11" i="6" s="1"/>
  <c r="K13" i="6"/>
  <c r="P13" i="6" s="1"/>
  <c r="U13" i="6" s="1"/>
  <c r="J13" i="6"/>
  <c r="O13" i="6" s="1"/>
  <c r="T13" i="6" s="1"/>
  <c r="I13" i="6"/>
  <c r="N13" i="6" s="1"/>
  <c r="S13" i="6" s="1"/>
  <c r="L12" i="6"/>
  <c r="Q12" i="6" s="1"/>
  <c r="V12" i="6" s="1"/>
  <c r="K12" i="6"/>
  <c r="P12" i="6" s="1"/>
  <c r="U12" i="6" s="1"/>
  <c r="J12" i="6"/>
  <c r="O12" i="6" s="1"/>
  <c r="T12" i="6" s="1"/>
  <c r="I11" i="6"/>
  <c r="N11" i="6" s="1"/>
  <c r="S11" i="6" s="1"/>
  <c r="I9" i="6"/>
  <c r="N9" i="6" s="1"/>
  <c r="S9" i="6" s="1"/>
  <c r="H9" i="6"/>
  <c r="M9" i="6" s="1"/>
  <c r="R9" i="6" s="1"/>
  <c r="L8" i="6"/>
  <c r="Q8" i="6" s="1"/>
  <c r="V8" i="6" s="1"/>
  <c r="K8" i="6"/>
  <c r="P8" i="6" s="1"/>
  <c r="U8" i="6" s="1"/>
  <c r="J8" i="6"/>
  <c r="O8" i="6" s="1"/>
  <c r="T8" i="6" s="1"/>
  <c r="I8" i="6"/>
  <c r="N8" i="6" s="1"/>
  <c r="S8" i="6" s="1"/>
  <c r="H8" i="6"/>
  <c r="M8" i="6" s="1"/>
  <c r="R8" i="6" s="1"/>
  <c r="L7" i="6"/>
  <c r="Q7" i="6" s="1"/>
  <c r="V7" i="6" s="1"/>
  <c r="K7" i="6"/>
  <c r="P7" i="6" s="1"/>
  <c r="U7" i="6" s="1"/>
  <c r="J7" i="6"/>
  <c r="O7" i="6" s="1"/>
  <c r="T7" i="6" s="1"/>
  <c r="I7" i="6"/>
  <c r="N7" i="6" s="1"/>
  <c r="S7" i="6" s="1"/>
  <c r="H7" i="6"/>
  <c r="M7" i="6" s="1"/>
  <c r="R7" i="6" s="1"/>
  <c r="L6" i="6"/>
  <c r="Q6" i="6" s="1"/>
  <c r="V6" i="6" s="1"/>
  <c r="K6" i="6"/>
  <c r="P6" i="6" s="1"/>
  <c r="U6" i="6" s="1"/>
  <c r="J6" i="6"/>
  <c r="O6" i="6" s="1"/>
  <c r="T6" i="6" s="1"/>
  <c r="I6" i="6"/>
  <c r="N6" i="6" s="1"/>
  <c r="S6" i="6" s="1"/>
  <c r="H6" i="6"/>
  <c r="M6" i="6" s="1"/>
  <c r="R6" i="6" s="1"/>
  <c r="K4" i="6"/>
  <c r="P4" i="6" s="1"/>
  <c r="U4" i="6" s="1"/>
  <c r="J4" i="6"/>
  <c r="O4" i="6" s="1"/>
  <c r="T4" i="6" s="1"/>
  <c r="I4" i="6"/>
  <c r="N4" i="6" s="1"/>
  <c r="S4" i="6" s="1"/>
  <c r="H4" i="6"/>
  <c r="M4" i="6" s="1"/>
  <c r="R4" i="6" s="1"/>
  <c r="L3" i="6"/>
  <c r="Q3" i="6" s="1"/>
  <c r="V3" i="6" s="1"/>
  <c r="K3" i="6"/>
  <c r="P3" i="6" s="1"/>
  <c r="U3" i="6" s="1"/>
  <c r="J3" i="6"/>
  <c r="O3" i="6" s="1"/>
  <c r="T3" i="6" s="1"/>
  <c r="I3" i="6"/>
  <c r="N3" i="6" s="1"/>
  <c r="S3" i="6" s="1"/>
  <c r="H3" i="6"/>
  <c r="M3" i="6" s="1"/>
  <c r="R3" i="6" s="1"/>
  <c r="I2" i="6"/>
  <c r="N2" i="6" s="1"/>
  <c r="H2" i="6"/>
  <c r="M2" i="6" s="1"/>
  <c r="H15" i="6"/>
  <c r="M15" i="6" s="1"/>
  <c r="R15" i="6" s="1"/>
  <c r="H19" i="6"/>
  <c r="M19" i="6" s="1"/>
  <c r="R19" i="6" s="1"/>
  <c r="L17" i="6"/>
  <c r="Q17" i="6" s="1"/>
  <c r="V17" i="6" s="1"/>
  <c r="L11" i="6"/>
  <c r="Q11" i="6" s="1"/>
  <c r="V11" i="6" s="1"/>
  <c r="I10" i="6"/>
  <c r="N10" i="6" s="1"/>
  <c r="S10" i="6" s="1"/>
  <c r="J20" i="6"/>
  <c r="O20" i="6" s="1"/>
  <c r="T20" i="6" s="1"/>
  <c r="H14" i="6"/>
  <c r="M14" i="6" s="1"/>
  <c r="R14" i="6" s="1"/>
  <c r="J19" i="6"/>
  <c r="O19" i="6" s="1"/>
  <c r="T19" i="6" s="1"/>
  <c r="J14" i="6"/>
  <c r="O14" i="6" s="1"/>
  <c r="T14" i="6" s="1"/>
  <c r="H10" i="6"/>
  <c r="M10" i="6" s="1"/>
  <c r="R10" i="6" s="1"/>
  <c r="I19" i="6"/>
  <c r="N19" i="6" s="1"/>
  <c r="S19" i="6" s="1"/>
  <c r="I14" i="6"/>
  <c r="N14" i="6" s="1"/>
  <c r="S14" i="6" s="1"/>
  <c r="L19" i="6"/>
  <c r="Q19" i="6" s="1"/>
  <c r="V19" i="6" s="1"/>
  <c r="K18" i="6"/>
  <c r="P18" i="6" s="1"/>
  <c r="U18" i="6" s="1"/>
  <c r="J11" i="6"/>
  <c r="O11" i="6" s="1"/>
  <c r="T11" i="6" s="1"/>
  <c r="H20" i="6"/>
  <c r="M20" i="6" s="1"/>
  <c r="R20" i="6" s="1"/>
  <c r="K14" i="6"/>
  <c r="P14" i="6" s="1"/>
  <c r="U14" i="6" s="1"/>
  <c r="J10" i="6"/>
  <c r="O10" i="6" s="1"/>
  <c r="T10" i="6" s="1"/>
  <c r="I20" i="6"/>
  <c r="N20" i="6" s="1"/>
  <c r="S20" i="6" s="1"/>
  <c r="I18" i="6"/>
  <c r="N18" i="6" s="1"/>
  <c r="S18" i="6" s="1"/>
  <c r="I12" i="6"/>
  <c r="N12" i="6" s="1"/>
  <c r="S12" i="6" s="1"/>
  <c r="L10" i="6"/>
  <c r="Q10" i="6" s="1"/>
  <c r="V10" i="6" s="1"/>
  <c r="K19" i="6"/>
  <c r="P19" i="6" s="1"/>
  <c r="U19" i="6" s="1"/>
  <c r="H18" i="6"/>
  <c r="M18" i="6" s="1"/>
  <c r="R18" i="6" s="1"/>
  <c r="L13" i="6"/>
  <c r="Q13" i="6" s="1"/>
  <c r="V13" i="6" s="1"/>
  <c r="K10" i="6"/>
  <c r="P10" i="6" s="1"/>
  <c r="U10" i="6" s="1"/>
  <c r="L18" i="6"/>
  <c r="Q18" i="6" s="1"/>
  <c r="V18" i="6" s="1"/>
  <c r="L5" i="6"/>
  <c r="Q5" i="6" s="1"/>
  <c r="V5" i="6" s="1"/>
  <c r="L9" i="6"/>
  <c r="Q9" i="6" s="1"/>
  <c r="V9" i="6" s="1"/>
  <c r="L2" i="6"/>
  <c r="Q2" i="6" s="1"/>
  <c r="K9" i="6"/>
  <c r="P9" i="6" s="1"/>
  <c r="U9" i="6" s="1"/>
  <c r="K5" i="6"/>
  <c r="P5" i="6" s="1"/>
  <c r="U5" i="6" s="1"/>
  <c r="K2" i="6"/>
  <c r="P2" i="6" s="1"/>
  <c r="J2" i="6"/>
  <c r="O2" i="6" s="1"/>
  <c r="J5" i="6"/>
  <c r="O5" i="6" s="1"/>
  <c r="T5" i="6" s="1"/>
  <c r="S2" i="6" l="1"/>
  <c r="Z2" i="6" s="1"/>
  <c r="Y2" i="6"/>
  <c r="AA3" i="6"/>
  <c r="AA4" i="6"/>
  <c r="R2" i="6"/>
  <c r="AB4" i="6" s="1"/>
  <c r="AA2" i="6"/>
  <c r="AA5" i="6"/>
  <c r="V2" i="6"/>
  <c r="Z5" i="6" s="1"/>
  <c r="Y5" i="6"/>
  <c r="U2" i="6"/>
  <c r="Z4" i="6" s="1"/>
  <c r="Y4" i="6"/>
  <c r="T2" i="6"/>
  <c r="Z3" i="6" s="1"/>
  <c r="Y3" i="6"/>
  <c r="AB2" i="6" l="1"/>
  <c r="AB5" i="6"/>
  <c r="AB3" i="6"/>
</calcChain>
</file>

<file path=xl/sharedStrings.xml><?xml version="1.0" encoding="utf-8"?>
<sst xmlns="http://schemas.openxmlformats.org/spreadsheetml/2006/main" count="302" uniqueCount="62">
  <si>
    <t>Team</t>
  </si>
  <si>
    <t>16-17 GD/Game</t>
  </si>
  <si>
    <t>17-18 GD/Game 5</t>
  </si>
  <si>
    <t>17-18 GD/Game 10</t>
  </si>
  <si>
    <t>17-18 GD/Game 15</t>
  </si>
  <si>
    <t>17-18 GD/Game 20</t>
  </si>
  <si>
    <t>Final Rank</t>
  </si>
  <si>
    <t>Rank 16-17</t>
  </si>
  <si>
    <t>Rank 5</t>
  </si>
  <si>
    <t>Rank 10</t>
  </si>
  <si>
    <t>Rank 15</t>
  </si>
  <si>
    <t>Rank 20</t>
  </si>
  <si>
    <t>Error 16-17</t>
  </si>
  <si>
    <t>Error 5</t>
  </si>
  <si>
    <t>Error 10</t>
  </si>
  <si>
    <t>Error 15</t>
  </si>
  <si>
    <t>Error 20</t>
  </si>
  <si>
    <t>Sq Error 16-17</t>
  </si>
  <si>
    <t>Sq Error 5</t>
  </si>
  <si>
    <t>Sq Error 10</t>
  </si>
  <si>
    <t>Sq Error 15</t>
  </si>
  <si>
    <t>Sq Error 20</t>
  </si>
  <si>
    <t>Games</t>
  </si>
  <si>
    <t>Current MAE</t>
  </si>
  <si>
    <t>Current RMSE</t>
  </si>
  <si>
    <t>Last Season MAE</t>
  </si>
  <si>
    <t>Last Season RMSE</t>
  </si>
  <si>
    <t>Manchester City</t>
  </si>
  <si>
    <t>Manchester United</t>
  </si>
  <si>
    <t>Chelsea</t>
  </si>
  <si>
    <t>Liverpool</t>
  </si>
  <si>
    <t>Tottenham</t>
  </si>
  <si>
    <t>Arsenal</t>
  </si>
  <si>
    <t>Burnley</t>
  </si>
  <si>
    <t>Leicester</t>
  </si>
  <si>
    <t>Everton</t>
  </si>
  <si>
    <t>Watford</t>
  </si>
  <si>
    <t>Huddersfield</t>
  </si>
  <si>
    <t>Brighton</t>
  </si>
  <si>
    <t>Stoke</t>
  </si>
  <si>
    <t>Southampton</t>
  </si>
  <si>
    <t>Newcastle United</t>
  </si>
  <si>
    <t>Crystal Palace</t>
  </si>
  <si>
    <t>West Ham</t>
  </si>
  <si>
    <t>Bournemouth</t>
  </si>
  <si>
    <t>West Bromwich Albion</t>
  </si>
  <si>
    <t>Swansea</t>
  </si>
  <si>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</si>
  <si>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</si>
  <si>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</si>
  <si>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</si>
  <si>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</si>
  <si>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</si>
  <si>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</si>
  <si>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</si>
  <si>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</si>
  <si>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</si>
  <si>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xGA</t>
  </si>
  <si>
    <t>xPTS</t>
  </si>
  <si>
    <t>Hull</t>
  </si>
  <si>
    <t>Middlesbrough</t>
  </si>
  <si>
    <t>Sunderland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</si>
</sst>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4" borderId="0" xfId="0" applyFill="1"/>
    <xf numFmtId="176" fontId="0" fillId="4" borderId="0" xfId="0" applyNumberFormat="1" applyFill="1"/>
    <xf numFmtId="0" fontId="0" fillId="3" borderId="0" xfId="0" applyFill="1"/>
    <xf numFmtId="176" fontId="0" fillId="3" borderId="0" xfId="0" applyNumberFormat="1" applyFill="1"/>
    <xf numFmtId="1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Summary!$Y$1</c:f>
              <c:strCache>
                <c:ptCount val="1"/>
                <c:pt idx="0">
                  <c:v>Current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Summary!$Y$2:$Y$5</c:f>
              <c:numCache>
                <c:formatCode>0.00</c:formatCode>
                <c:ptCount val="4"/>
                <c:pt idx="0">
                  <c:v>4.5999999999999996</c:v>
                </c:pt>
                <c:pt idx="1">
                  <c:v>3.3</c:v>
                </c:pt>
                <c:pt idx="2">
                  <c:v>2.85</c:v>
                </c:pt>
                <c:pt idx="3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68-40CE-A43F-BC0185C779D2}"/>
            </c:ext>
          </c:extLst>
        </c:ser>
        <c:ser>
          <c:idx val="1"/>
          <c:order val="1"/>
          <c:tx>
            <c:strRef>
              <c:f>Summary!$Z$1</c:f>
              <c:strCache>
                <c:ptCount val="1"/>
                <c:pt idx="0">
                  <c:v>Current 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Summary!$Z$2:$Z$5</c:f>
              <c:numCache>
                <c:formatCode>0.00</c:formatCode>
                <c:ptCount val="4"/>
                <c:pt idx="0">
                  <c:v>6.0415229867972862</c:v>
                </c:pt>
                <c:pt idx="1">
                  <c:v>4.5055521304275237</c:v>
                </c:pt>
                <c:pt idx="2">
                  <c:v>3.7749172176353749</c:v>
                </c:pt>
                <c:pt idx="3">
                  <c:v>3.0659419433511785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68-40CE-A43F-BC0185C779D2}"/>
            </c:ext>
          </c:extLst>
        </c:ser>
        <c:ser>
          <c:idx val="2"/>
          <c:order val="2"/>
          <c:tx>
            <c:strRef>
              <c:f>Summary!$AA$1</c:f>
              <c:strCache>
                <c:ptCount val="1"/>
                <c:pt idx="0">
                  <c:v>Last Season MAE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Summary!$AA$2:$AA$5</c:f>
              <c:numCache>
                <c:formatCode>0.00</c:formatCode>
                <c:ptCount val="4"/>
                <c:pt idx="0">
                  <c:v>3.4705882352941178</c:v>
                </c:pt>
                <c:pt idx="1">
                  <c:v>3.4705882352941178</c:v>
                </c:pt>
                <c:pt idx="2">
                  <c:v>3.4705882352941178</c:v>
                </c:pt>
                <c:pt idx="3">
                  <c:v>3.4705882352941178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68-40CE-A43F-BC0185C779D2}"/>
            </c:ext>
          </c:extLst>
        </c:ser>
        <c:ser>
          <c:idx val="3"/>
          <c:order val="3"/>
          <c:tx>
            <c:strRef>
              <c:f>Summary!$AB$1</c:f>
              <c:strCache>
                <c:ptCount val="1"/>
                <c:pt idx="0">
                  <c:v>Last Season RMSE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Summary!$AB$2:$AB$5</c:f>
              <c:numCache>
                <c:formatCode>0.00</c:formatCode>
                <c:ptCount val="4"/>
                <c:pt idx="0">
                  <c:v>4.6336366101901127</c:v>
                </c:pt>
                <c:pt idx="1">
                  <c:v>4.6336366101901127</c:v>
                </c:pt>
                <c:pt idx="2">
                  <c:v>4.6336366101901127</c:v>
                </c:pt>
                <c:pt idx="3">
                  <c:v>4.6336366101901127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68-40CE-A43F-BC0185C77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713440"/>
        <c:axId val="644716800"/>
      </c:scatterChart>
      <c:valAx>
        <c:axId val="644713440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716800"/>
        <c:crosses val="autoZero"/>
        <c:crossBetween val="midCat"/>
      </c:valAx>
      <c:valAx>
        <c:axId val="6447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713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514350</xdr:colOff>
      <xdr:row>7</xdr:row>
      <xdr:rowOff>19056</xdr:rowOff>
    </xdr:from>
    <xdr:to>
      <xdr:col>27</xdr:col>
      <xdr:colOff>501650</xdr:colOff>
      <xdr:row>21</xdr:row>
      <xdr:rowOff>95256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EFC495B-6575-BB86-C557-F1EC06076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D39" sqref="D39"/>
    </sheetView>
  </sheetViews>
  <sheetFormatPr defaultColWidth="10.6640625" defaultRowHeight="15" x14ac:dyDescent="0.25"/>
  <sheetData>
    <row r="1" spans="1:12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 x14ac:dyDescent="0.25">
      <c r="A2">
        <v>1</v>
      </c>
      <c r="B2" t="s">
        <v>29</v>
      </c>
      <c r="C2">
        <v>38</v>
      </c>
      <c r="D2">
        <v>30</v>
      </c>
      <c r="E2">
        <v>3</v>
      </c>
      <c r="F2">
        <v>5</v>
      </c>
      <c r="G2">
        <v>85</v>
      </c>
      <c r="H2">
        <v>33</v>
      </c>
      <c r="I2">
        <v>93</v>
      </c>
      <c r="J2">
        <v>61.8</v>
      </c>
      <c r="K2">
        <v>28.62</v>
      </c>
      <c r="L2">
        <v>75.739999999999995</v>
      </c>
    </row>
    <row r="3" spans="1:12" x14ac:dyDescent="0.25">
      <c r="A3">
        <v>2</v>
      </c>
      <c r="B3" t="s">
        <v>31</v>
      </c>
      <c r="C3">
        <v>38</v>
      </c>
      <c r="D3">
        <v>26</v>
      </c>
      <c r="E3">
        <v>8</v>
      </c>
      <c r="F3">
        <v>4</v>
      </c>
      <c r="G3">
        <v>86</v>
      </c>
      <c r="H3">
        <v>26</v>
      </c>
      <c r="I3">
        <v>86</v>
      </c>
      <c r="J3">
        <v>70.069999999999993</v>
      </c>
      <c r="K3">
        <v>33.78</v>
      </c>
      <c r="L3">
        <v>75.37</v>
      </c>
    </row>
    <row r="4" spans="1:12" x14ac:dyDescent="0.25">
      <c r="A4">
        <v>3</v>
      </c>
      <c r="B4" t="s">
        <v>27</v>
      </c>
      <c r="C4">
        <v>38</v>
      </c>
      <c r="D4">
        <v>23</v>
      </c>
      <c r="E4">
        <v>9</v>
      </c>
      <c r="F4">
        <v>6</v>
      </c>
      <c r="G4">
        <v>80</v>
      </c>
      <c r="H4">
        <v>39</v>
      </c>
      <c r="I4">
        <v>78</v>
      </c>
      <c r="J4">
        <v>79.849999999999994</v>
      </c>
      <c r="K4">
        <v>29.61</v>
      </c>
      <c r="L4">
        <v>85.41</v>
      </c>
    </row>
    <row r="5" spans="1:12" x14ac:dyDescent="0.25">
      <c r="A5">
        <v>4</v>
      </c>
      <c r="B5" t="s">
        <v>30</v>
      </c>
      <c r="C5">
        <v>38</v>
      </c>
      <c r="D5">
        <v>22</v>
      </c>
      <c r="E5">
        <v>10</v>
      </c>
      <c r="F5">
        <v>6</v>
      </c>
      <c r="G5">
        <v>78</v>
      </c>
      <c r="H5">
        <v>42</v>
      </c>
      <c r="I5">
        <v>76</v>
      </c>
      <c r="J5">
        <v>66.63</v>
      </c>
      <c r="K5">
        <v>37.65</v>
      </c>
      <c r="L5">
        <v>69.83</v>
      </c>
    </row>
    <row r="6" spans="1:12" x14ac:dyDescent="0.25">
      <c r="A6">
        <v>5</v>
      </c>
      <c r="B6" t="s">
        <v>32</v>
      </c>
      <c r="C6">
        <v>38</v>
      </c>
      <c r="D6">
        <v>23</v>
      </c>
      <c r="E6">
        <v>6</v>
      </c>
      <c r="F6">
        <v>9</v>
      </c>
      <c r="G6">
        <v>77</v>
      </c>
      <c r="H6">
        <v>44</v>
      </c>
      <c r="I6">
        <v>75</v>
      </c>
      <c r="J6">
        <v>63.58</v>
      </c>
      <c r="K6">
        <v>47.07</v>
      </c>
      <c r="L6">
        <v>62.12</v>
      </c>
    </row>
    <row r="7" spans="1:12" x14ac:dyDescent="0.25">
      <c r="A7">
        <v>6</v>
      </c>
      <c r="B7" t="s">
        <v>28</v>
      </c>
      <c r="C7">
        <v>38</v>
      </c>
      <c r="D7">
        <v>18</v>
      </c>
      <c r="E7">
        <v>15</v>
      </c>
      <c r="F7">
        <v>5</v>
      </c>
      <c r="G7">
        <v>54</v>
      </c>
      <c r="H7">
        <v>29</v>
      </c>
      <c r="I7">
        <v>69</v>
      </c>
      <c r="J7">
        <v>57.57</v>
      </c>
      <c r="K7">
        <v>31.62</v>
      </c>
      <c r="L7">
        <v>70.89</v>
      </c>
    </row>
    <row r="8" spans="1:12" x14ac:dyDescent="0.25">
      <c r="A8">
        <v>7</v>
      </c>
      <c r="B8" t="s">
        <v>35</v>
      </c>
      <c r="C8">
        <v>38</v>
      </c>
      <c r="D8">
        <v>17</v>
      </c>
      <c r="E8">
        <v>10</v>
      </c>
      <c r="F8">
        <v>11</v>
      </c>
      <c r="G8">
        <v>62</v>
      </c>
      <c r="H8">
        <v>44</v>
      </c>
      <c r="I8">
        <v>61</v>
      </c>
      <c r="J8">
        <v>49.63</v>
      </c>
      <c r="K8">
        <v>45.78</v>
      </c>
      <c r="L8">
        <v>55.78</v>
      </c>
    </row>
    <row r="9" spans="1:12" x14ac:dyDescent="0.25">
      <c r="A9">
        <v>8</v>
      </c>
      <c r="B9" t="s">
        <v>40</v>
      </c>
      <c r="C9">
        <v>38</v>
      </c>
      <c r="D9">
        <v>12</v>
      </c>
      <c r="E9">
        <v>10</v>
      </c>
      <c r="F9">
        <v>16</v>
      </c>
      <c r="G9">
        <v>41</v>
      </c>
      <c r="H9">
        <v>48</v>
      </c>
      <c r="I9">
        <v>46</v>
      </c>
      <c r="J9">
        <v>49.98</v>
      </c>
      <c r="K9">
        <v>43.08</v>
      </c>
      <c r="L9">
        <v>55.69</v>
      </c>
    </row>
    <row r="10" spans="1:12" x14ac:dyDescent="0.25">
      <c r="A10">
        <v>9</v>
      </c>
      <c r="B10" t="s">
        <v>44</v>
      </c>
      <c r="C10">
        <v>38</v>
      </c>
      <c r="D10">
        <v>12</v>
      </c>
      <c r="E10">
        <v>10</v>
      </c>
      <c r="F10">
        <v>16</v>
      </c>
      <c r="G10">
        <v>55</v>
      </c>
      <c r="H10">
        <v>67</v>
      </c>
      <c r="I10">
        <v>46</v>
      </c>
      <c r="J10">
        <v>50.02</v>
      </c>
      <c r="K10">
        <v>62.99</v>
      </c>
      <c r="L10">
        <v>43.17</v>
      </c>
    </row>
    <row r="11" spans="1:12" x14ac:dyDescent="0.25">
      <c r="A11">
        <v>10</v>
      </c>
      <c r="B11" t="s">
        <v>45</v>
      </c>
      <c r="C11">
        <v>38</v>
      </c>
      <c r="D11">
        <v>12</v>
      </c>
      <c r="E11">
        <v>9</v>
      </c>
      <c r="F11">
        <v>17</v>
      </c>
      <c r="G11">
        <v>43</v>
      </c>
      <c r="H11">
        <v>51</v>
      </c>
      <c r="I11">
        <v>45</v>
      </c>
      <c r="J11">
        <v>38.21</v>
      </c>
      <c r="K11">
        <v>47.9</v>
      </c>
      <c r="L11">
        <v>45.59</v>
      </c>
    </row>
    <row r="12" spans="1:12" x14ac:dyDescent="0.25">
      <c r="A12">
        <v>11</v>
      </c>
      <c r="B12" t="s">
        <v>43</v>
      </c>
      <c r="C12">
        <v>38</v>
      </c>
      <c r="D12">
        <v>12</v>
      </c>
      <c r="E12">
        <v>9</v>
      </c>
      <c r="F12">
        <v>17</v>
      </c>
      <c r="G12">
        <v>47</v>
      </c>
      <c r="H12">
        <v>64</v>
      </c>
      <c r="I12">
        <v>45</v>
      </c>
      <c r="J12">
        <v>48.25</v>
      </c>
      <c r="K12">
        <v>59.67</v>
      </c>
      <c r="L12">
        <v>46.04</v>
      </c>
    </row>
    <row r="13" spans="1:12" x14ac:dyDescent="0.25">
      <c r="A13">
        <v>12</v>
      </c>
      <c r="B13" t="s">
        <v>34</v>
      </c>
      <c r="C13">
        <v>38</v>
      </c>
      <c r="D13">
        <v>12</v>
      </c>
      <c r="E13">
        <v>8</v>
      </c>
      <c r="F13">
        <v>18</v>
      </c>
      <c r="G13">
        <v>48</v>
      </c>
      <c r="H13">
        <v>63</v>
      </c>
      <c r="I13">
        <v>44</v>
      </c>
      <c r="J13">
        <v>44.34</v>
      </c>
      <c r="K13">
        <v>51.3</v>
      </c>
      <c r="L13">
        <v>48.12</v>
      </c>
    </row>
    <row r="14" spans="1:12" x14ac:dyDescent="0.25">
      <c r="A14">
        <v>13</v>
      </c>
      <c r="B14" t="s">
        <v>39</v>
      </c>
      <c r="C14">
        <v>38</v>
      </c>
      <c r="D14">
        <v>11</v>
      </c>
      <c r="E14">
        <v>11</v>
      </c>
      <c r="F14">
        <v>16</v>
      </c>
      <c r="G14">
        <v>41</v>
      </c>
      <c r="H14">
        <v>56</v>
      </c>
      <c r="I14">
        <v>44</v>
      </c>
      <c r="J14">
        <v>47.87</v>
      </c>
      <c r="K14">
        <v>48.67</v>
      </c>
      <c r="L14">
        <v>52.29</v>
      </c>
    </row>
    <row r="15" spans="1:12" x14ac:dyDescent="0.25">
      <c r="A15">
        <v>14</v>
      </c>
      <c r="B15" t="s">
        <v>42</v>
      </c>
      <c r="C15">
        <v>38</v>
      </c>
      <c r="D15">
        <v>12</v>
      </c>
      <c r="E15">
        <v>5</v>
      </c>
      <c r="F15">
        <v>21</v>
      </c>
      <c r="G15">
        <v>50</v>
      </c>
      <c r="H15">
        <v>63</v>
      </c>
      <c r="I15">
        <v>41</v>
      </c>
      <c r="J15">
        <v>45.4</v>
      </c>
      <c r="K15">
        <v>50.03</v>
      </c>
      <c r="L15">
        <v>48.45</v>
      </c>
    </row>
    <row r="16" spans="1:12" x14ac:dyDescent="0.25">
      <c r="A16">
        <v>15</v>
      </c>
      <c r="B16" t="s">
        <v>46</v>
      </c>
      <c r="C16">
        <v>38</v>
      </c>
      <c r="D16">
        <v>12</v>
      </c>
      <c r="E16">
        <v>5</v>
      </c>
      <c r="F16">
        <v>21</v>
      </c>
      <c r="G16">
        <v>45</v>
      </c>
      <c r="H16">
        <v>70</v>
      </c>
      <c r="I16">
        <v>41</v>
      </c>
      <c r="J16">
        <v>39.5</v>
      </c>
      <c r="K16">
        <v>65.13</v>
      </c>
      <c r="L16">
        <v>36.49</v>
      </c>
    </row>
    <row r="17" spans="1:12" x14ac:dyDescent="0.25">
      <c r="A17">
        <v>16</v>
      </c>
      <c r="B17" t="s">
        <v>33</v>
      </c>
      <c r="C17">
        <v>38</v>
      </c>
      <c r="D17">
        <v>11</v>
      </c>
      <c r="E17">
        <v>7</v>
      </c>
      <c r="F17">
        <v>20</v>
      </c>
      <c r="G17">
        <v>39</v>
      </c>
      <c r="H17">
        <v>55</v>
      </c>
      <c r="I17">
        <v>40</v>
      </c>
      <c r="J17">
        <v>35.590000000000003</v>
      </c>
      <c r="K17">
        <v>55.27</v>
      </c>
      <c r="L17">
        <v>38.36</v>
      </c>
    </row>
    <row r="18" spans="1:12" x14ac:dyDescent="0.25">
      <c r="A18">
        <v>17</v>
      </c>
      <c r="B18" t="s">
        <v>36</v>
      </c>
      <c r="C18">
        <v>38</v>
      </c>
      <c r="D18">
        <v>11</v>
      </c>
      <c r="E18">
        <v>7</v>
      </c>
      <c r="F18">
        <v>20</v>
      </c>
      <c r="G18">
        <v>40</v>
      </c>
      <c r="H18">
        <v>68</v>
      </c>
      <c r="I18">
        <v>40</v>
      </c>
      <c r="J18">
        <v>36.25</v>
      </c>
      <c r="K18">
        <v>52.62</v>
      </c>
      <c r="L18">
        <v>40.619999999999997</v>
      </c>
    </row>
    <row r="19" spans="1:12" x14ac:dyDescent="0.25">
      <c r="A19">
        <v>18</v>
      </c>
      <c r="B19" t="s">
        <v>59</v>
      </c>
      <c r="C19">
        <v>38</v>
      </c>
      <c r="D19">
        <v>9</v>
      </c>
      <c r="E19">
        <v>7</v>
      </c>
      <c r="F19">
        <v>22</v>
      </c>
      <c r="G19">
        <v>37</v>
      </c>
      <c r="H19">
        <v>80</v>
      </c>
      <c r="I19">
        <v>34</v>
      </c>
      <c r="J19">
        <v>33.840000000000003</v>
      </c>
      <c r="K19">
        <v>71.77</v>
      </c>
      <c r="L19">
        <v>30.73</v>
      </c>
    </row>
    <row r="20" spans="1:12" x14ac:dyDescent="0.25">
      <c r="A20">
        <v>19</v>
      </c>
      <c r="B20" t="s">
        <v>60</v>
      </c>
      <c r="C20">
        <v>38</v>
      </c>
      <c r="D20">
        <v>5</v>
      </c>
      <c r="E20">
        <v>13</v>
      </c>
      <c r="F20">
        <v>20</v>
      </c>
      <c r="G20">
        <v>27</v>
      </c>
      <c r="H20">
        <v>53</v>
      </c>
      <c r="I20">
        <v>28</v>
      </c>
      <c r="J20">
        <v>30.93</v>
      </c>
      <c r="K20">
        <v>55.3</v>
      </c>
      <c r="L20">
        <v>37.25</v>
      </c>
    </row>
    <row r="21" spans="1:12" x14ac:dyDescent="0.25">
      <c r="A21">
        <v>20</v>
      </c>
      <c r="B21" t="s">
        <v>61</v>
      </c>
      <c r="C21">
        <v>38</v>
      </c>
      <c r="D21">
        <v>6</v>
      </c>
      <c r="E21">
        <v>6</v>
      </c>
      <c r="F21">
        <v>26</v>
      </c>
      <c r="G21">
        <v>29</v>
      </c>
      <c r="H21">
        <v>69</v>
      </c>
      <c r="I21">
        <v>24</v>
      </c>
      <c r="J21">
        <v>34.22</v>
      </c>
      <c r="K21">
        <v>65.66</v>
      </c>
      <c r="L21">
        <v>32.24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1"/>
  <sheetViews>
    <sheetView topLeftCell="A37" workbookViewId="0">
      <selection activeCell="A71" sqref="A71:L91"/>
    </sheetView>
  </sheetViews>
  <sheetFormatPr defaultColWidth="10.6640625" defaultRowHeight="15" x14ac:dyDescent="0.25"/>
  <sheetData>
    <row r="1" spans="1:12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 x14ac:dyDescent="0.25">
      <c r="A2">
        <v>1</v>
      </c>
      <c r="B2" t="s">
        <v>27</v>
      </c>
      <c r="C2">
        <v>5</v>
      </c>
      <c r="D2">
        <v>4</v>
      </c>
      <c r="E2">
        <v>1</v>
      </c>
      <c r="F2">
        <v>0</v>
      </c>
      <c r="G2">
        <v>16</v>
      </c>
      <c r="H2">
        <v>2</v>
      </c>
      <c r="I2">
        <v>13</v>
      </c>
      <c r="J2">
        <v>11.92</v>
      </c>
      <c r="K2">
        <v>2.76</v>
      </c>
      <c r="L2">
        <v>12.62</v>
      </c>
    </row>
    <row r="3" spans="1:12" x14ac:dyDescent="0.25">
      <c r="A3">
        <v>2</v>
      </c>
      <c r="B3" t="s">
        <v>28</v>
      </c>
      <c r="C3">
        <v>5</v>
      </c>
      <c r="D3">
        <v>4</v>
      </c>
      <c r="E3">
        <v>1</v>
      </c>
      <c r="F3">
        <v>0</v>
      </c>
      <c r="G3">
        <v>16</v>
      </c>
      <c r="H3">
        <v>2</v>
      </c>
      <c r="I3">
        <v>13</v>
      </c>
      <c r="J3">
        <v>14.04</v>
      </c>
      <c r="K3">
        <v>4.16</v>
      </c>
      <c r="L3">
        <v>12.73</v>
      </c>
    </row>
    <row r="4" spans="1:12" x14ac:dyDescent="0.25">
      <c r="A4">
        <v>3</v>
      </c>
      <c r="B4" t="s">
        <v>29</v>
      </c>
      <c r="C4">
        <v>5</v>
      </c>
      <c r="D4">
        <v>3</v>
      </c>
      <c r="E4">
        <v>1</v>
      </c>
      <c r="F4">
        <v>1</v>
      </c>
      <c r="G4">
        <v>8</v>
      </c>
      <c r="H4">
        <v>5</v>
      </c>
      <c r="I4">
        <v>10</v>
      </c>
      <c r="J4">
        <v>5.16</v>
      </c>
      <c r="K4">
        <v>4.3899999999999997</v>
      </c>
      <c r="L4">
        <v>7.34</v>
      </c>
    </row>
    <row r="5" spans="1:12" x14ac:dyDescent="0.25">
      <c r="A5">
        <v>4</v>
      </c>
      <c r="B5" t="s">
        <v>41</v>
      </c>
      <c r="C5">
        <v>5</v>
      </c>
      <c r="D5">
        <v>3</v>
      </c>
      <c r="E5">
        <v>0</v>
      </c>
      <c r="F5">
        <v>2</v>
      </c>
      <c r="G5">
        <v>6</v>
      </c>
      <c r="H5">
        <v>4</v>
      </c>
      <c r="I5">
        <v>9</v>
      </c>
      <c r="J5">
        <v>8.06</v>
      </c>
      <c r="K5">
        <v>5.33</v>
      </c>
      <c r="L5">
        <v>8.7200000000000006</v>
      </c>
    </row>
    <row r="6" spans="1:12" x14ac:dyDescent="0.25">
      <c r="A6">
        <v>5</v>
      </c>
      <c r="B6" t="s">
        <v>31</v>
      </c>
      <c r="C6">
        <v>5</v>
      </c>
      <c r="D6">
        <v>2</v>
      </c>
      <c r="E6">
        <v>2</v>
      </c>
      <c r="F6">
        <v>1</v>
      </c>
      <c r="G6">
        <v>7</v>
      </c>
      <c r="H6">
        <v>3</v>
      </c>
      <c r="I6">
        <v>8</v>
      </c>
      <c r="J6">
        <v>8.77</v>
      </c>
      <c r="K6">
        <v>3.45</v>
      </c>
      <c r="L6">
        <v>10.64</v>
      </c>
    </row>
    <row r="7" spans="1:12" x14ac:dyDescent="0.25">
      <c r="A7">
        <v>6</v>
      </c>
      <c r="B7" t="s">
        <v>37</v>
      </c>
      <c r="C7">
        <v>5</v>
      </c>
      <c r="D7">
        <v>2</v>
      </c>
      <c r="E7">
        <v>2</v>
      </c>
      <c r="F7">
        <v>1</v>
      </c>
      <c r="G7">
        <v>5</v>
      </c>
      <c r="H7">
        <v>3</v>
      </c>
      <c r="I7">
        <v>8</v>
      </c>
      <c r="J7">
        <v>4.5599999999999996</v>
      </c>
      <c r="K7">
        <v>5.95</v>
      </c>
      <c r="L7">
        <v>5.56</v>
      </c>
    </row>
    <row r="8" spans="1:12" x14ac:dyDescent="0.25">
      <c r="A8">
        <v>7</v>
      </c>
      <c r="B8" t="s">
        <v>33</v>
      </c>
      <c r="C8">
        <v>5</v>
      </c>
      <c r="D8">
        <v>2</v>
      </c>
      <c r="E8">
        <v>2</v>
      </c>
      <c r="F8">
        <v>1</v>
      </c>
      <c r="G8">
        <v>6</v>
      </c>
      <c r="H8">
        <v>5</v>
      </c>
      <c r="I8">
        <v>8</v>
      </c>
      <c r="J8">
        <v>3.37</v>
      </c>
      <c r="K8">
        <v>8.2799999999999994</v>
      </c>
      <c r="L8">
        <v>3.55</v>
      </c>
    </row>
    <row r="9" spans="1:12" x14ac:dyDescent="0.25">
      <c r="A9">
        <v>8</v>
      </c>
      <c r="B9" t="s">
        <v>30</v>
      </c>
      <c r="C9">
        <v>5</v>
      </c>
      <c r="D9">
        <v>2</v>
      </c>
      <c r="E9">
        <v>2</v>
      </c>
      <c r="F9">
        <v>1</v>
      </c>
      <c r="G9">
        <v>9</v>
      </c>
      <c r="H9">
        <v>9</v>
      </c>
      <c r="I9">
        <v>8</v>
      </c>
      <c r="J9">
        <v>11.78</v>
      </c>
      <c r="K9">
        <v>6.87</v>
      </c>
      <c r="L9">
        <v>10.1</v>
      </c>
    </row>
    <row r="10" spans="1:12" x14ac:dyDescent="0.25">
      <c r="A10">
        <v>9</v>
      </c>
      <c r="B10" t="s">
        <v>40</v>
      </c>
      <c r="C10">
        <v>5</v>
      </c>
      <c r="D10">
        <v>2</v>
      </c>
      <c r="E10">
        <v>2</v>
      </c>
      <c r="F10">
        <v>1</v>
      </c>
      <c r="G10">
        <v>4</v>
      </c>
      <c r="H10">
        <v>4</v>
      </c>
      <c r="I10">
        <v>8</v>
      </c>
      <c r="J10">
        <v>6.6</v>
      </c>
      <c r="K10">
        <v>6.07</v>
      </c>
      <c r="L10">
        <v>6.97</v>
      </c>
    </row>
    <row r="11" spans="1:12" x14ac:dyDescent="0.25">
      <c r="A11">
        <v>10</v>
      </c>
      <c r="B11" t="s">
        <v>45</v>
      </c>
      <c r="C11">
        <v>5</v>
      </c>
      <c r="D11">
        <v>2</v>
      </c>
      <c r="E11">
        <v>2</v>
      </c>
      <c r="F11">
        <v>1</v>
      </c>
      <c r="G11">
        <v>4</v>
      </c>
      <c r="H11">
        <v>4</v>
      </c>
      <c r="I11">
        <v>8</v>
      </c>
      <c r="J11">
        <v>4.3600000000000003</v>
      </c>
      <c r="K11">
        <v>3.4</v>
      </c>
      <c r="L11">
        <v>7.74</v>
      </c>
    </row>
    <row r="12" spans="1:12" x14ac:dyDescent="0.25">
      <c r="A12">
        <v>11</v>
      </c>
      <c r="B12" t="s">
        <v>36</v>
      </c>
      <c r="C12">
        <v>5</v>
      </c>
      <c r="D12">
        <v>2</v>
      </c>
      <c r="E12">
        <v>2</v>
      </c>
      <c r="F12">
        <v>1</v>
      </c>
      <c r="G12">
        <v>7</v>
      </c>
      <c r="H12">
        <v>9</v>
      </c>
      <c r="I12">
        <v>8</v>
      </c>
      <c r="J12">
        <v>6.02</v>
      </c>
      <c r="K12">
        <v>8.66</v>
      </c>
      <c r="L12">
        <v>5.68</v>
      </c>
    </row>
    <row r="13" spans="1:12" x14ac:dyDescent="0.25">
      <c r="A13">
        <v>12</v>
      </c>
      <c r="B13" t="s">
        <v>32</v>
      </c>
      <c r="C13">
        <v>5</v>
      </c>
      <c r="D13">
        <v>2</v>
      </c>
      <c r="E13">
        <v>1</v>
      </c>
      <c r="F13">
        <v>2</v>
      </c>
      <c r="G13">
        <v>7</v>
      </c>
      <c r="H13">
        <v>8</v>
      </c>
      <c r="I13">
        <v>7</v>
      </c>
      <c r="J13">
        <v>8.34</v>
      </c>
      <c r="K13">
        <v>6.96</v>
      </c>
      <c r="L13">
        <v>8.7200000000000006</v>
      </c>
    </row>
    <row r="14" spans="1:12" x14ac:dyDescent="0.25">
      <c r="A14">
        <v>13</v>
      </c>
      <c r="B14" t="s">
        <v>39</v>
      </c>
      <c r="C14">
        <v>5</v>
      </c>
      <c r="D14">
        <v>1</v>
      </c>
      <c r="E14">
        <v>2</v>
      </c>
      <c r="F14">
        <v>2</v>
      </c>
      <c r="G14">
        <v>5</v>
      </c>
      <c r="H14">
        <v>6</v>
      </c>
      <c r="I14">
        <v>5</v>
      </c>
      <c r="J14">
        <v>4.13</v>
      </c>
      <c r="K14">
        <v>7.63</v>
      </c>
      <c r="L14">
        <v>4.28</v>
      </c>
    </row>
    <row r="15" spans="1:12" x14ac:dyDescent="0.25">
      <c r="A15">
        <v>14</v>
      </c>
      <c r="B15" t="s">
        <v>46</v>
      </c>
      <c r="C15">
        <v>5</v>
      </c>
      <c r="D15">
        <v>1</v>
      </c>
      <c r="E15">
        <v>2</v>
      </c>
      <c r="F15">
        <v>2</v>
      </c>
      <c r="G15">
        <v>2</v>
      </c>
      <c r="H15">
        <v>5</v>
      </c>
      <c r="I15">
        <v>5</v>
      </c>
      <c r="J15">
        <v>3.32</v>
      </c>
      <c r="K15">
        <v>8.66</v>
      </c>
      <c r="L15">
        <v>3.96</v>
      </c>
    </row>
    <row r="16" spans="1:12" x14ac:dyDescent="0.25">
      <c r="A16">
        <v>15</v>
      </c>
      <c r="B16" t="s">
        <v>34</v>
      </c>
      <c r="C16">
        <v>5</v>
      </c>
      <c r="D16">
        <v>1</v>
      </c>
      <c r="E16">
        <v>1</v>
      </c>
      <c r="F16">
        <v>3</v>
      </c>
      <c r="G16">
        <v>7</v>
      </c>
      <c r="H16">
        <v>9</v>
      </c>
      <c r="I16">
        <v>4</v>
      </c>
      <c r="J16">
        <v>6.61</v>
      </c>
      <c r="K16">
        <v>7.14</v>
      </c>
      <c r="L16">
        <v>7.21</v>
      </c>
    </row>
    <row r="17" spans="1:12" x14ac:dyDescent="0.25">
      <c r="A17">
        <v>16</v>
      </c>
      <c r="B17" t="s">
        <v>38</v>
      </c>
      <c r="C17">
        <v>5</v>
      </c>
      <c r="D17">
        <v>1</v>
      </c>
      <c r="E17">
        <v>1</v>
      </c>
      <c r="F17">
        <v>3</v>
      </c>
      <c r="G17">
        <v>4</v>
      </c>
      <c r="H17">
        <v>7</v>
      </c>
      <c r="I17">
        <v>4</v>
      </c>
      <c r="J17">
        <v>2.62</v>
      </c>
      <c r="K17">
        <v>6.29</v>
      </c>
      <c r="L17">
        <v>3.99</v>
      </c>
    </row>
    <row r="18" spans="1:12" x14ac:dyDescent="0.25">
      <c r="A18">
        <v>17</v>
      </c>
      <c r="B18" t="s">
        <v>43</v>
      </c>
      <c r="C18">
        <v>5</v>
      </c>
      <c r="D18">
        <v>1</v>
      </c>
      <c r="E18">
        <v>1</v>
      </c>
      <c r="F18">
        <v>3</v>
      </c>
      <c r="G18">
        <v>4</v>
      </c>
      <c r="H18">
        <v>10</v>
      </c>
      <c r="I18">
        <v>4</v>
      </c>
      <c r="J18">
        <v>4.93</v>
      </c>
      <c r="K18">
        <v>8.66</v>
      </c>
      <c r="L18">
        <v>4.7</v>
      </c>
    </row>
    <row r="19" spans="1:12" x14ac:dyDescent="0.25">
      <c r="A19">
        <v>18</v>
      </c>
      <c r="B19" t="s">
        <v>35</v>
      </c>
      <c r="C19">
        <v>5</v>
      </c>
      <c r="D19">
        <v>1</v>
      </c>
      <c r="E19">
        <v>1</v>
      </c>
      <c r="F19">
        <v>3</v>
      </c>
      <c r="G19">
        <v>2</v>
      </c>
      <c r="H19">
        <v>10</v>
      </c>
      <c r="I19">
        <v>4</v>
      </c>
      <c r="J19">
        <v>3.86</v>
      </c>
      <c r="K19">
        <v>8.0500000000000007</v>
      </c>
      <c r="L19">
        <v>4.1399999999999997</v>
      </c>
    </row>
    <row r="20" spans="1:12" x14ac:dyDescent="0.25">
      <c r="A20">
        <v>19</v>
      </c>
      <c r="B20" t="s">
        <v>44</v>
      </c>
      <c r="C20">
        <v>5</v>
      </c>
      <c r="D20">
        <v>1</v>
      </c>
      <c r="E20">
        <v>0</v>
      </c>
      <c r="F20">
        <v>4</v>
      </c>
      <c r="G20">
        <v>3</v>
      </c>
      <c r="H20">
        <v>9</v>
      </c>
      <c r="I20">
        <v>3</v>
      </c>
      <c r="J20">
        <v>3.53</v>
      </c>
      <c r="K20">
        <v>8.49</v>
      </c>
      <c r="L20">
        <v>3.49</v>
      </c>
    </row>
    <row r="21" spans="1:12" x14ac:dyDescent="0.25">
      <c r="A21">
        <v>20</v>
      </c>
      <c r="B21" t="s">
        <v>42</v>
      </c>
      <c r="C21">
        <v>5</v>
      </c>
      <c r="D21">
        <v>0</v>
      </c>
      <c r="E21">
        <v>0</v>
      </c>
      <c r="F21">
        <v>5</v>
      </c>
      <c r="G21">
        <v>0</v>
      </c>
      <c r="H21">
        <v>8</v>
      </c>
      <c r="I21">
        <v>0</v>
      </c>
      <c r="J21">
        <v>6.3</v>
      </c>
      <c r="K21">
        <v>7.1</v>
      </c>
      <c r="L21">
        <v>6.56</v>
      </c>
    </row>
    <row r="24" spans="1:12" x14ac:dyDescent="0.25">
      <c r="A24" t="s">
        <v>47</v>
      </c>
      <c r="B24" t="s">
        <v>48</v>
      </c>
      <c r="C24" t="s">
        <v>49</v>
      </c>
      <c r="D24" t="s">
        <v>50</v>
      </c>
      <c r="E24" t="s">
        <v>51</v>
      </c>
      <c r="F24" t="s">
        <v>52</v>
      </c>
      <c r="G24" t="s">
        <v>53</v>
      </c>
      <c r="H24" t="s">
        <v>54</v>
      </c>
      <c r="I24" t="s">
        <v>55</v>
      </c>
      <c r="J24" t="s">
        <v>56</v>
      </c>
      <c r="K24" t="s">
        <v>57</v>
      </c>
      <c r="L24" t="s">
        <v>58</v>
      </c>
    </row>
    <row r="25" spans="1:12" x14ac:dyDescent="0.25">
      <c r="A25">
        <v>1</v>
      </c>
      <c r="B25" t="s">
        <v>27</v>
      </c>
      <c r="C25">
        <v>10</v>
      </c>
      <c r="D25">
        <v>9</v>
      </c>
      <c r="E25">
        <v>1</v>
      </c>
      <c r="F25">
        <v>0</v>
      </c>
      <c r="G25">
        <v>35</v>
      </c>
      <c r="H25">
        <v>6</v>
      </c>
      <c r="I25">
        <v>28</v>
      </c>
      <c r="J25">
        <v>29.81</v>
      </c>
      <c r="K25">
        <v>6.23</v>
      </c>
      <c r="L25">
        <v>25.68</v>
      </c>
    </row>
    <row r="26" spans="1:12" x14ac:dyDescent="0.25">
      <c r="A26">
        <v>2</v>
      </c>
      <c r="B26" t="s">
        <v>28</v>
      </c>
      <c r="C26">
        <v>10</v>
      </c>
      <c r="D26">
        <v>7</v>
      </c>
      <c r="E26">
        <v>2</v>
      </c>
      <c r="F26">
        <v>1</v>
      </c>
      <c r="G26">
        <v>23</v>
      </c>
      <c r="H26">
        <v>4</v>
      </c>
      <c r="I26">
        <v>23</v>
      </c>
      <c r="J26">
        <v>20.57</v>
      </c>
      <c r="K26">
        <v>9.49</v>
      </c>
      <c r="L26">
        <v>19.61</v>
      </c>
    </row>
    <row r="27" spans="1:12" x14ac:dyDescent="0.25">
      <c r="A27">
        <v>3</v>
      </c>
      <c r="B27" t="s">
        <v>31</v>
      </c>
      <c r="C27">
        <v>10</v>
      </c>
      <c r="D27">
        <v>6</v>
      </c>
      <c r="E27">
        <v>2</v>
      </c>
      <c r="F27">
        <v>2</v>
      </c>
      <c r="G27">
        <v>19</v>
      </c>
      <c r="H27">
        <v>7</v>
      </c>
      <c r="I27">
        <v>20</v>
      </c>
      <c r="J27">
        <v>17.45</v>
      </c>
      <c r="K27">
        <v>6.11</v>
      </c>
      <c r="L27">
        <v>21.97</v>
      </c>
    </row>
    <row r="28" spans="1:12" x14ac:dyDescent="0.25">
      <c r="A28">
        <v>4</v>
      </c>
      <c r="B28" t="s">
        <v>29</v>
      </c>
      <c r="C28">
        <v>10</v>
      </c>
      <c r="D28">
        <v>6</v>
      </c>
      <c r="E28">
        <v>1</v>
      </c>
      <c r="F28">
        <v>3</v>
      </c>
      <c r="G28">
        <v>18</v>
      </c>
      <c r="H28">
        <v>10</v>
      </c>
      <c r="I28">
        <v>19</v>
      </c>
      <c r="J28">
        <v>11.89</v>
      </c>
      <c r="K28">
        <v>9.99</v>
      </c>
      <c r="L28">
        <v>15.14</v>
      </c>
    </row>
    <row r="29" spans="1:12" x14ac:dyDescent="0.25">
      <c r="A29">
        <v>5</v>
      </c>
      <c r="B29" t="s">
        <v>32</v>
      </c>
      <c r="C29">
        <v>10</v>
      </c>
      <c r="D29">
        <v>6</v>
      </c>
      <c r="E29">
        <v>1</v>
      </c>
      <c r="F29">
        <v>3</v>
      </c>
      <c r="G29">
        <v>19</v>
      </c>
      <c r="H29">
        <v>13</v>
      </c>
      <c r="I29">
        <v>19</v>
      </c>
      <c r="J29">
        <v>20.440000000000001</v>
      </c>
      <c r="K29">
        <v>11.39</v>
      </c>
      <c r="L29">
        <v>20.07</v>
      </c>
    </row>
    <row r="30" spans="1:12" x14ac:dyDescent="0.25">
      <c r="A30">
        <v>6</v>
      </c>
      <c r="B30" t="s">
        <v>30</v>
      </c>
      <c r="C30">
        <v>10</v>
      </c>
      <c r="D30">
        <v>4</v>
      </c>
      <c r="E30">
        <v>4</v>
      </c>
      <c r="F30">
        <v>2</v>
      </c>
      <c r="G30">
        <v>17</v>
      </c>
      <c r="H30">
        <v>16</v>
      </c>
      <c r="I30">
        <v>16</v>
      </c>
      <c r="J30">
        <v>20.09</v>
      </c>
      <c r="K30">
        <v>12.94</v>
      </c>
      <c r="L30">
        <v>19.09</v>
      </c>
    </row>
    <row r="31" spans="1:12" x14ac:dyDescent="0.25">
      <c r="A31">
        <v>7</v>
      </c>
      <c r="B31" t="s">
        <v>33</v>
      </c>
      <c r="C31">
        <v>10</v>
      </c>
      <c r="D31">
        <v>4</v>
      </c>
      <c r="E31">
        <v>4</v>
      </c>
      <c r="F31">
        <v>2</v>
      </c>
      <c r="G31">
        <v>9</v>
      </c>
      <c r="H31">
        <v>9</v>
      </c>
      <c r="I31">
        <v>16</v>
      </c>
      <c r="J31">
        <v>6</v>
      </c>
      <c r="K31">
        <v>14.59</v>
      </c>
      <c r="L31">
        <v>8.69</v>
      </c>
    </row>
    <row r="32" spans="1:12" x14ac:dyDescent="0.25">
      <c r="A32">
        <v>8</v>
      </c>
      <c r="B32" t="s">
        <v>36</v>
      </c>
      <c r="C32">
        <v>10</v>
      </c>
      <c r="D32">
        <v>4</v>
      </c>
      <c r="E32">
        <v>3</v>
      </c>
      <c r="F32">
        <v>3</v>
      </c>
      <c r="G32">
        <v>15</v>
      </c>
      <c r="H32">
        <v>18</v>
      </c>
      <c r="I32">
        <v>15</v>
      </c>
      <c r="J32">
        <v>13.47</v>
      </c>
      <c r="K32">
        <v>15.66</v>
      </c>
      <c r="L32">
        <v>12.81</v>
      </c>
    </row>
    <row r="33" spans="1:12" x14ac:dyDescent="0.25">
      <c r="A33">
        <v>9</v>
      </c>
      <c r="B33" t="s">
        <v>41</v>
      </c>
      <c r="C33">
        <v>10</v>
      </c>
      <c r="D33">
        <v>4</v>
      </c>
      <c r="E33">
        <v>2</v>
      </c>
      <c r="F33">
        <v>4</v>
      </c>
      <c r="G33">
        <v>10</v>
      </c>
      <c r="H33">
        <v>9</v>
      </c>
      <c r="I33">
        <v>14</v>
      </c>
      <c r="J33">
        <v>11.45</v>
      </c>
      <c r="K33">
        <v>10.79</v>
      </c>
      <c r="L33">
        <v>13.64</v>
      </c>
    </row>
    <row r="34" spans="1:12" x14ac:dyDescent="0.25">
      <c r="A34">
        <v>10</v>
      </c>
      <c r="B34" t="s">
        <v>40</v>
      </c>
      <c r="C34">
        <v>10</v>
      </c>
      <c r="D34">
        <v>3</v>
      </c>
      <c r="E34">
        <v>4</v>
      </c>
      <c r="F34">
        <v>3</v>
      </c>
      <c r="G34">
        <v>9</v>
      </c>
      <c r="H34">
        <v>10</v>
      </c>
      <c r="I34">
        <v>13</v>
      </c>
      <c r="J34">
        <v>13.11</v>
      </c>
      <c r="K34">
        <v>12.78</v>
      </c>
      <c r="L34">
        <v>13.6</v>
      </c>
    </row>
    <row r="35" spans="1:12" x14ac:dyDescent="0.25">
      <c r="A35">
        <v>11</v>
      </c>
      <c r="B35" t="s">
        <v>34</v>
      </c>
      <c r="C35">
        <v>10</v>
      </c>
      <c r="D35">
        <v>3</v>
      </c>
      <c r="E35">
        <v>3</v>
      </c>
      <c r="F35">
        <v>4</v>
      </c>
      <c r="G35">
        <v>14</v>
      </c>
      <c r="H35">
        <v>14</v>
      </c>
      <c r="I35">
        <v>12</v>
      </c>
      <c r="J35">
        <v>14.23</v>
      </c>
      <c r="K35">
        <v>11.76</v>
      </c>
      <c r="L35">
        <v>16.68</v>
      </c>
    </row>
    <row r="36" spans="1:12" x14ac:dyDescent="0.25">
      <c r="A36">
        <v>12</v>
      </c>
      <c r="B36" t="s">
        <v>38</v>
      </c>
      <c r="C36">
        <v>10</v>
      </c>
      <c r="D36">
        <v>3</v>
      </c>
      <c r="E36">
        <v>3</v>
      </c>
      <c r="F36">
        <v>4</v>
      </c>
      <c r="G36">
        <v>10</v>
      </c>
      <c r="H36">
        <v>11</v>
      </c>
      <c r="I36">
        <v>12</v>
      </c>
      <c r="J36">
        <v>8.06</v>
      </c>
      <c r="K36">
        <v>12.71</v>
      </c>
      <c r="L36">
        <v>10.54</v>
      </c>
    </row>
    <row r="37" spans="1:12" x14ac:dyDescent="0.25">
      <c r="A37">
        <v>13</v>
      </c>
      <c r="B37" t="s">
        <v>37</v>
      </c>
      <c r="C37">
        <v>10</v>
      </c>
      <c r="D37">
        <v>3</v>
      </c>
      <c r="E37">
        <v>3</v>
      </c>
      <c r="F37">
        <v>4</v>
      </c>
      <c r="G37">
        <v>7</v>
      </c>
      <c r="H37">
        <v>13</v>
      </c>
      <c r="I37">
        <v>12</v>
      </c>
      <c r="J37">
        <v>6.99</v>
      </c>
      <c r="K37">
        <v>12.48</v>
      </c>
      <c r="L37">
        <v>9.2799999999999994</v>
      </c>
    </row>
    <row r="38" spans="1:12" x14ac:dyDescent="0.25">
      <c r="A38">
        <v>14</v>
      </c>
      <c r="B38" t="s">
        <v>39</v>
      </c>
      <c r="C38">
        <v>10</v>
      </c>
      <c r="D38">
        <v>3</v>
      </c>
      <c r="E38">
        <v>2</v>
      </c>
      <c r="F38">
        <v>5</v>
      </c>
      <c r="G38">
        <v>11</v>
      </c>
      <c r="H38">
        <v>20</v>
      </c>
      <c r="I38">
        <v>11</v>
      </c>
      <c r="J38">
        <v>10.47</v>
      </c>
      <c r="K38">
        <v>17.36</v>
      </c>
      <c r="L38">
        <v>9.9</v>
      </c>
    </row>
    <row r="39" spans="1:12" x14ac:dyDescent="0.25">
      <c r="A39">
        <v>15</v>
      </c>
      <c r="B39" t="s">
        <v>45</v>
      </c>
      <c r="C39">
        <v>10</v>
      </c>
      <c r="D39">
        <v>2</v>
      </c>
      <c r="E39">
        <v>4</v>
      </c>
      <c r="F39">
        <v>4</v>
      </c>
      <c r="G39">
        <v>9</v>
      </c>
      <c r="H39">
        <v>13</v>
      </c>
      <c r="I39">
        <v>10</v>
      </c>
      <c r="J39">
        <v>8.84</v>
      </c>
      <c r="K39">
        <v>13.17</v>
      </c>
      <c r="L39">
        <v>10.7</v>
      </c>
    </row>
    <row r="40" spans="1:12" x14ac:dyDescent="0.25">
      <c r="A40">
        <v>16</v>
      </c>
      <c r="B40" t="s">
        <v>43</v>
      </c>
      <c r="C40">
        <v>10</v>
      </c>
      <c r="D40">
        <v>2</v>
      </c>
      <c r="E40">
        <v>3</v>
      </c>
      <c r="F40">
        <v>5</v>
      </c>
      <c r="G40">
        <v>10</v>
      </c>
      <c r="H40">
        <v>19</v>
      </c>
      <c r="I40">
        <v>9</v>
      </c>
      <c r="J40">
        <v>8.4499999999999993</v>
      </c>
      <c r="K40">
        <v>15.9</v>
      </c>
      <c r="L40">
        <v>9.2100000000000009</v>
      </c>
    </row>
    <row r="41" spans="1:12" x14ac:dyDescent="0.25">
      <c r="A41">
        <v>17</v>
      </c>
      <c r="B41" t="s">
        <v>46</v>
      </c>
      <c r="C41">
        <v>10</v>
      </c>
      <c r="D41">
        <v>2</v>
      </c>
      <c r="E41">
        <v>2</v>
      </c>
      <c r="F41">
        <v>6</v>
      </c>
      <c r="G41">
        <v>7</v>
      </c>
      <c r="H41">
        <v>12</v>
      </c>
      <c r="I41">
        <v>8</v>
      </c>
      <c r="J41">
        <v>8.0500000000000007</v>
      </c>
      <c r="K41">
        <v>15.39</v>
      </c>
      <c r="L41">
        <v>9.42</v>
      </c>
    </row>
    <row r="42" spans="1:12" x14ac:dyDescent="0.25">
      <c r="A42">
        <v>18</v>
      </c>
      <c r="B42" t="s">
        <v>35</v>
      </c>
      <c r="C42">
        <v>10</v>
      </c>
      <c r="D42">
        <v>2</v>
      </c>
      <c r="E42">
        <v>2</v>
      </c>
      <c r="F42">
        <v>6</v>
      </c>
      <c r="G42">
        <v>7</v>
      </c>
      <c r="H42">
        <v>20</v>
      </c>
      <c r="I42">
        <v>8</v>
      </c>
      <c r="J42">
        <v>9.85</v>
      </c>
      <c r="K42">
        <v>15.11</v>
      </c>
      <c r="L42">
        <v>11.17</v>
      </c>
    </row>
    <row r="43" spans="1:12" x14ac:dyDescent="0.25">
      <c r="A43">
        <v>19</v>
      </c>
      <c r="B43" t="s">
        <v>44</v>
      </c>
      <c r="C43">
        <v>10</v>
      </c>
      <c r="D43">
        <v>2</v>
      </c>
      <c r="E43">
        <v>1</v>
      </c>
      <c r="F43">
        <v>7</v>
      </c>
      <c r="G43">
        <v>6</v>
      </c>
      <c r="H43">
        <v>14</v>
      </c>
      <c r="I43">
        <v>7</v>
      </c>
      <c r="J43">
        <v>7.07</v>
      </c>
      <c r="K43">
        <v>16.64</v>
      </c>
      <c r="L43">
        <v>7.21</v>
      </c>
    </row>
    <row r="44" spans="1:12" x14ac:dyDescent="0.25">
      <c r="A44">
        <v>20</v>
      </c>
      <c r="B44" t="s">
        <v>42</v>
      </c>
      <c r="C44">
        <v>10</v>
      </c>
      <c r="D44">
        <v>1</v>
      </c>
      <c r="E44">
        <v>1</v>
      </c>
      <c r="F44">
        <v>8</v>
      </c>
      <c r="G44">
        <v>4</v>
      </c>
      <c r="H44">
        <v>21</v>
      </c>
      <c r="I44">
        <v>4</v>
      </c>
      <c r="J44">
        <v>12.16</v>
      </c>
      <c r="K44">
        <v>17.96</v>
      </c>
      <c r="L44">
        <v>13.04</v>
      </c>
    </row>
    <row r="48" spans="1:12" x14ac:dyDescent="0.25">
      <c r="A48" t="s">
        <v>47</v>
      </c>
      <c r="B48" t="s">
        <v>48</v>
      </c>
      <c r="C48" t="s">
        <v>49</v>
      </c>
      <c r="D48" t="s">
        <v>50</v>
      </c>
      <c r="E48" t="s">
        <v>51</v>
      </c>
      <c r="F48" t="s">
        <v>52</v>
      </c>
      <c r="G48" t="s">
        <v>53</v>
      </c>
      <c r="H48" t="s">
        <v>54</v>
      </c>
      <c r="I48" t="s">
        <v>55</v>
      </c>
      <c r="J48" t="s">
        <v>56</v>
      </c>
      <c r="K48" t="s">
        <v>57</v>
      </c>
      <c r="L48" t="s">
        <v>58</v>
      </c>
    </row>
    <row r="49" spans="1:12" x14ac:dyDescent="0.25">
      <c r="A49">
        <v>1</v>
      </c>
      <c r="B49" t="s">
        <v>27</v>
      </c>
      <c r="C49">
        <v>15</v>
      </c>
      <c r="D49">
        <v>14</v>
      </c>
      <c r="E49">
        <v>1</v>
      </c>
      <c r="F49">
        <v>0</v>
      </c>
      <c r="G49">
        <v>46</v>
      </c>
      <c r="H49">
        <v>10</v>
      </c>
      <c r="I49">
        <v>43</v>
      </c>
      <c r="J49">
        <v>41.13</v>
      </c>
      <c r="K49">
        <v>9.39</v>
      </c>
      <c r="L49">
        <v>38.17</v>
      </c>
    </row>
    <row r="50" spans="1:12" x14ac:dyDescent="0.25">
      <c r="A50">
        <v>2</v>
      </c>
      <c r="B50" t="s">
        <v>28</v>
      </c>
      <c r="C50">
        <v>15</v>
      </c>
      <c r="D50">
        <v>11</v>
      </c>
      <c r="E50">
        <v>2</v>
      </c>
      <c r="F50">
        <v>2</v>
      </c>
      <c r="G50">
        <v>35</v>
      </c>
      <c r="H50">
        <v>9</v>
      </c>
      <c r="I50">
        <v>35</v>
      </c>
      <c r="J50">
        <v>29.12</v>
      </c>
      <c r="K50">
        <v>18.52</v>
      </c>
      <c r="L50">
        <v>26.72</v>
      </c>
    </row>
    <row r="51" spans="1:12" x14ac:dyDescent="0.25">
      <c r="A51">
        <v>3</v>
      </c>
      <c r="B51" t="s">
        <v>29</v>
      </c>
      <c r="C51">
        <v>15</v>
      </c>
      <c r="D51">
        <v>10</v>
      </c>
      <c r="E51">
        <v>2</v>
      </c>
      <c r="F51">
        <v>3</v>
      </c>
      <c r="G51">
        <v>28</v>
      </c>
      <c r="H51">
        <v>12</v>
      </c>
      <c r="I51">
        <v>32</v>
      </c>
      <c r="J51">
        <v>21.57</v>
      </c>
      <c r="K51">
        <v>13.42</v>
      </c>
      <c r="L51">
        <v>26.05</v>
      </c>
    </row>
    <row r="52" spans="1:12" x14ac:dyDescent="0.25">
      <c r="A52">
        <v>4</v>
      </c>
      <c r="B52" t="s">
        <v>30</v>
      </c>
      <c r="C52">
        <v>15</v>
      </c>
      <c r="D52">
        <v>8</v>
      </c>
      <c r="E52">
        <v>5</v>
      </c>
      <c r="F52">
        <v>2</v>
      </c>
      <c r="G52">
        <v>33</v>
      </c>
      <c r="H52">
        <v>19</v>
      </c>
      <c r="I52">
        <v>29</v>
      </c>
      <c r="J52">
        <v>30.9</v>
      </c>
      <c r="K52">
        <v>17.88</v>
      </c>
      <c r="L52">
        <v>30.04</v>
      </c>
    </row>
    <row r="53" spans="1:12" x14ac:dyDescent="0.25">
      <c r="A53">
        <v>5</v>
      </c>
      <c r="B53" t="s">
        <v>32</v>
      </c>
      <c r="C53">
        <v>15</v>
      </c>
      <c r="D53">
        <v>9</v>
      </c>
      <c r="E53">
        <v>1</v>
      </c>
      <c r="F53">
        <v>5</v>
      </c>
      <c r="G53">
        <v>29</v>
      </c>
      <c r="H53">
        <v>19</v>
      </c>
      <c r="I53">
        <v>28</v>
      </c>
      <c r="J53">
        <v>33.5</v>
      </c>
      <c r="K53">
        <v>17.079999999999998</v>
      </c>
      <c r="L53">
        <v>30.86</v>
      </c>
    </row>
    <row r="54" spans="1:12" x14ac:dyDescent="0.25">
      <c r="A54">
        <v>6</v>
      </c>
      <c r="B54" t="s">
        <v>31</v>
      </c>
      <c r="C54">
        <v>15</v>
      </c>
      <c r="D54">
        <v>7</v>
      </c>
      <c r="E54">
        <v>4</v>
      </c>
      <c r="F54">
        <v>4</v>
      </c>
      <c r="G54">
        <v>23</v>
      </c>
      <c r="H54">
        <v>13</v>
      </c>
      <c r="I54">
        <v>25</v>
      </c>
      <c r="J54">
        <v>24.24</v>
      </c>
      <c r="K54">
        <v>11.44</v>
      </c>
      <c r="L54">
        <v>30.21</v>
      </c>
    </row>
    <row r="55" spans="1:12" x14ac:dyDescent="0.25">
      <c r="A55">
        <v>7</v>
      </c>
      <c r="B55" t="s">
        <v>33</v>
      </c>
      <c r="C55">
        <v>15</v>
      </c>
      <c r="D55">
        <v>7</v>
      </c>
      <c r="E55">
        <v>4</v>
      </c>
      <c r="F55">
        <v>4</v>
      </c>
      <c r="G55">
        <v>14</v>
      </c>
      <c r="H55">
        <v>12</v>
      </c>
      <c r="I55">
        <v>25</v>
      </c>
      <c r="J55">
        <v>9.9600000000000009</v>
      </c>
      <c r="K55">
        <v>20.09</v>
      </c>
      <c r="L55">
        <v>14.1</v>
      </c>
    </row>
    <row r="56" spans="1:12" x14ac:dyDescent="0.25">
      <c r="A56">
        <v>8</v>
      </c>
      <c r="B56" t="s">
        <v>36</v>
      </c>
      <c r="C56">
        <v>15</v>
      </c>
      <c r="D56">
        <v>6</v>
      </c>
      <c r="E56">
        <v>4</v>
      </c>
      <c r="F56">
        <v>5</v>
      </c>
      <c r="G56">
        <v>25</v>
      </c>
      <c r="H56">
        <v>26</v>
      </c>
      <c r="I56">
        <v>22</v>
      </c>
      <c r="J56">
        <v>20.47</v>
      </c>
      <c r="K56">
        <v>22.95</v>
      </c>
      <c r="L56">
        <v>19.05</v>
      </c>
    </row>
    <row r="57" spans="1:12" x14ac:dyDescent="0.25">
      <c r="A57">
        <v>9</v>
      </c>
      <c r="B57" t="s">
        <v>34</v>
      </c>
      <c r="C57">
        <v>15</v>
      </c>
      <c r="D57">
        <v>5</v>
      </c>
      <c r="E57">
        <v>5</v>
      </c>
      <c r="F57">
        <v>5</v>
      </c>
      <c r="G57">
        <v>20</v>
      </c>
      <c r="H57">
        <v>20</v>
      </c>
      <c r="I57">
        <v>20</v>
      </c>
      <c r="J57">
        <v>18.72</v>
      </c>
      <c r="K57">
        <v>19.46</v>
      </c>
      <c r="L57">
        <v>21.58</v>
      </c>
    </row>
    <row r="58" spans="1:12" x14ac:dyDescent="0.25">
      <c r="A58">
        <v>10</v>
      </c>
      <c r="B58" t="s">
        <v>35</v>
      </c>
      <c r="C58">
        <v>15</v>
      </c>
      <c r="D58">
        <v>5</v>
      </c>
      <c r="E58">
        <v>3</v>
      </c>
      <c r="F58">
        <v>7</v>
      </c>
      <c r="G58">
        <v>19</v>
      </c>
      <c r="H58">
        <v>28</v>
      </c>
      <c r="I58">
        <v>18</v>
      </c>
      <c r="J58">
        <v>16.850000000000001</v>
      </c>
      <c r="K58">
        <v>22.42</v>
      </c>
      <c r="L58">
        <v>18.18</v>
      </c>
    </row>
    <row r="59" spans="1:12" x14ac:dyDescent="0.25">
      <c r="A59">
        <v>11</v>
      </c>
      <c r="B59" t="s">
        <v>40</v>
      </c>
      <c r="C59">
        <v>15</v>
      </c>
      <c r="D59">
        <v>4</v>
      </c>
      <c r="E59">
        <v>5</v>
      </c>
      <c r="F59">
        <v>6</v>
      </c>
      <c r="G59">
        <v>15</v>
      </c>
      <c r="H59">
        <v>18</v>
      </c>
      <c r="I59">
        <v>17</v>
      </c>
      <c r="J59">
        <v>19.14</v>
      </c>
      <c r="K59">
        <v>17.89</v>
      </c>
      <c r="L59">
        <v>21.37</v>
      </c>
    </row>
    <row r="60" spans="1:12" x14ac:dyDescent="0.25">
      <c r="A60">
        <v>12</v>
      </c>
      <c r="B60" t="s">
        <v>38</v>
      </c>
      <c r="C60">
        <v>15</v>
      </c>
      <c r="D60">
        <v>4</v>
      </c>
      <c r="E60">
        <v>5</v>
      </c>
      <c r="F60">
        <v>6</v>
      </c>
      <c r="G60">
        <v>14</v>
      </c>
      <c r="H60">
        <v>19</v>
      </c>
      <c r="I60">
        <v>17</v>
      </c>
      <c r="J60">
        <v>12.13</v>
      </c>
      <c r="K60">
        <v>19.02</v>
      </c>
      <c r="L60">
        <v>15.1</v>
      </c>
    </row>
    <row r="61" spans="1:12" x14ac:dyDescent="0.25">
      <c r="A61">
        <v>13</v>
      </c>
      <c r="B61" t="s">
        <v>39</v>
      </c>
      <c r="C61">
        <v>15</v>
      </c>
      <c r="D61">
        <v>4</v>
      </c>
      <c r="E61">
        <v>4</v>
      </c>
      <c r="F61">
        <v>7</v>
      </c>
      <c r="G61">
        <v>18</v>
      </c>
      <c r="H61">
        <v>30</v>
      </c>
      <c r="I61">
        <v>16</v>
      </c>
      <c r="J61">
        <v>15.63</v>
      </c>
      <c r="K61">
        <v>23.64</v>
      </c>
      <c r="L61">
        <v>16.350000000000001</v>
      </c>
    </row>
    <row r="62" spans="1:12" x14ac:dyDescent="0.25">
      <c r="A62">
        <v>14</v>
      </c>
      <c r="B62" t="s">
        <v>44</v>
      </c>
      <c r="C62">
        <v>15</v>
      </c>
      <c r="D62">
        <v>4</v>
      </c>
      <c r="E62">
        <v>3</v>
      </c>
      <c r="F62">
        <v>8</v>
      </c>
      <c r="G62">
        <v>13</v>
      </c>
      <c r="H62">
        <v>17</v>
      </c>
      <c r="I62">
        <v>15</v>
      </c>
      <c r="J62">
        <v>12.22</v>
      </c>
      <c r="K62">
        <v>21.44</v>
      </c>
      <c r="L62">
        <v>14.1</v>
      </c>
    </row>
    <row r="63" spans="1:12" x14ac:dyDescent="0.25">
      <c r="A63">
        <v>15</v>
      </c>
      <c r="B63" t="s">
        <v>41</v>
      </c>
      <c r="C63">
        <v>15</v>
      </c>
      <c r="D63">
        <v>4</v>
      </c>
      <c r="E63">
        <v>3</v>
      </c>
      <c r="F63">
        <v>8</v>
      </c>
      <c r="G63">
        <v>14</v>
      </c>
      <c r="H63">
        <v>22</v>
      </c>
      <c r="I63">
        <v>15</v>
      </c>
      <c r="J63">
        <v>15.73</v>
      </c>
      <c r="K63">
        <v>20.63</v>
      </c>
      <c r="L63">
        <v>17.18</v>
      </c>
    </row>
    <row r="64" spans="1:12" x14ac:dyDescent="0.25">
      <c r="A64">
        <v>16</v>
      </c>
      <c r="B64" t="s">
        <v>37</v>
      </c>
      <c r="C64">
        <v>15</v>
      </c>
      <c r="D64">
        <v>4</v>
      </c>
      <c r="E64">
        <v>3</v>
      </c>
      <c r="F64">
        <v>8</v>
      </c>
      <c r="G64">
        <v>9</v>
      </c>
      <c r="H64">
        <v>26</v>
      </c>
      <c r="I64">
        <v>15</v>
      </c>
      <c r="J64">
        <v>9.65</v>
      </c>
      <c r="K64">
        <v>22.21</v>
      </c>
      <c r="L64">
        <v>12.31</v>
      </c>
    </row>
    <row r="65" spans="1:12" x14ac:dyDescent="0.25">
      <c r="A65">
        <v>17</v>
      </c>
      <c r="B65" t="s">
        <v>45</v>
      </c>
      <c r="C65">
        <v>15</v>
      </c>
      <c r="D65">
        <v>2</v>
      </c>
      <c r="E65">
        <v>7</v>
      </c>
      <c r="F65">
        <v>6</v>
      </c>
      <c r="G65">
        <v>12</v>
      </c>
      <c r="H65">
        <v>21</v>
      </c>
      <c r="I65">
        <v>13</v>
      </c>
      <c r="J65">
        <v>13.03</v>
      </c>
      <c r="K65">
        <v>19.010000000000002</v>
      </c>
      <c r="L65">
        <v>16.07</v>
      </c>
    </row>
    <row r="66" spans="1:12" x14ac:dyDescent="0.25">
      <c r="A66">
        <v>18</v>
      </c>
      <c r="B66" t="s">
        <v>42</v>
      </c>
      <c r="C66">
        <v>15</v>
      </c>
      <c r="D66">
        <v>2</v>
      </c>
      <c r="E66">
        <v>4</v>
      </c>
      <c r="F66">
        <v>9</v>
      </c>
      <c r="G66">
        <v>8</v>
      </c>
      <c r="H66">
        <v>25</v>
      </c>
      <c r="I66">
        <v>10</v>
      </c>
      <c r="J66">
        <v>18.16</v>
      </c>
      <c r="K66">
        <v>23.4</v>
      </c>
      <c r="L66">
        <v>20.36</v>
      </c>
    </row>
    <row r="67" spans="1:12" x14ac:dyDescent="0.25">
      <c r="A67">
        <v>19</v>
      </c>
      <c r="B67" t="s">
        <v>43</v>
      </c>
      <c r="C67">
        <v>15</v>
      </c>
      <c r="D67">
        <v>2</v>
      </c>
      <c r="E67">
        <v>4</v>
      </c>
      <c r="F67">
        <v>9</v>
      </c>
      <c r="G67">
        <v>13</v>
      </c>
      <c r="H67">
        <v>32</v>
      </c>
      <c r="I67">
        <v>10</v>
      </c>
      <c r="J67">
        <v>13.3</v>
      </c>
      <c r="K67">
        <v>24.7</v>
      </c>
      <c r="L67">
        <v>13.59</v>
      </c>
    </row>
    <row r="68" spans="1:12" x14ac:dyDescent="0.25">
      <c r="A68">
        <v>20</v>
      </c>
      <c r="B68" t="s">
        <v>46</v>
      </c>
      <c r="C68">
        <v>15</v>
      </c>
      <c r="D68">
        <v>2</v>
      </c>
      <c r="E68">
        <v>3</v>
      </c>
      <c r="F68">
        <v>10</v>
      </c>
      <c r="G68">
        <v>8</v>
      </c>
      <c r="H68">
        <v>18</v>
      </c>
      <c r="I68">
        <v>9</v>
      </c>
      <c r="J68">
        <v>10.97</v>
      </c>
      <c r="K68">
        <v>21.8</v>
      </c>
      <c r="L68">
        <v>13.89</v>
      </c>
    </row>
    <row r="71" spans="1:12" x14ac:dyDescent="0.25">
      <c r="A71" t="s">
        <v>47</v>
      </c>
      <c r="B71" t="s">
        <v>48</v>
      </c>
      <c r="C71" t="s">
        <v>49</v>
      </c>
      <c r="D71" t="s">
        <v>50</v>
      </c>
      <c r="E71" t="s">
        <v>51</v>
      </c>
      <c r="F71" t="s">
        <v>52</v>
      </c>
      <c r="G71" t="s">
        <v>53</v>
      </c>
      <c r="H71" t="s">
        <v>54</v>
      </c>
      <c r="I71" t="s">
        <v>55</v>
      </c>
      <c r="J71" t="s">
        <v>56</v>
      </c>
      <c r="K71" t="s">
        <v>57</v>
      </c>
      <c r="L71" t="s">
        <v>58</v>
      </c>
    </row>
    <row r="72" spans="1:12" x14ac:dyDescent="0.25">
      <c r="A72">
        <v>1</v>
      </c>
      <c r="B72" t="s">
        <v>27</v>
      </c>
      <c r="C72">
        <v>20</v>
      </c>
      <c r="D72">
        <v>19</v>
      </c>
      <c r="E72">
        <v>1</v>
      </c>
      <c r="F72">
        <v>0</v>
      </c>
      <c r="G72">
        <v>61</v>
      </c>
      <c r="H72">
        <v>12</v>
      </c>
      <c r="I72">
        <v>58</v>
      </c>
      <c r="J72">
        <v>54.37</v>
      </c>
      <c r="K72">
        <v>12.11</v>
      </c>
      <c r="L72">
        <v>50.87</v>
      </c>
    </row>
    <row r="73" spans="1:12" x14ac:dyDescent="0.25">
      <c r="A73">
        <v>2</v>
      </c>
      <c r="B73" t="s">
        <v>28</v>
      </c>
      <c r="C73">
        <v>20</v>
      </c>
      <c r="D73">
        <v>13</v>
      </c>
      <c r="E73">
        <v>4</v>
      </c>
      <c r="F73">
        <v>3</v>
      </c>
      <c r="G73">
        <v>43</v>
      </c>
      <c r="H73">
        <v>16</v>
      </c>
      <c r="I73">
        <v>43</v>
      </c>
      <c r="J73">
        <v>36.659999999999997</v>
      </c>
      <c r="K73">
        <v>24.79</v>
      </c>
      <c r="L73">
        <v>34.44</v>
      </c>
    </row>
    <row r="74" spans="1:12" x14ac:dyDescent="0.25">
      <c r="A74">
        <v>3</v>
      </c>
      <c r="B74" t="s">
        <v>29</v>
      </c>
      <c r="C74">
        <v>20</v>
      </c>
      <c r="D74">
        <v>13</v>
      </c>
      <c r="E74">
        <v>3</v>
      </c>
      <c r="F74">
        <v>4</v>
      </c>
      <c r="G74">
        <v>34</v>
      </c>
      <c r="H74">
        <v>14</v>
      </c>
      <c r="I74">
        <v>42</v>
      </c>
      <c r="J74">
        <v>29.94</v>
      </c>
      <c r="K74">
        <v>15.69</v>
      </c>
      <c r="L74">
        <v>37.630000000000003</v>
      </c>
    </row>
    <row r="75" spans="1:12" x14ac:dyDescent="0.25">
      <c r="A75">
        <v>4</v>
      </c>
      <c r="B75" t="s">
        <v>30</v>
      </c>
      <c r="C75">
        <v>20</v>
      </c>
      <c r="D75">
        <v>10</v>
      </c>
      <c r="E75">
        <v>8</v>
      </c>
      <c r="F75">
        <v>2</v>
      </c>
      <c r="G75">
        <v>46</v>
      </c>
      <c r="H75">
        <v>23</v>
      </c>
      <c r="I75">
        <v>38</v>
      </c>
      <c r="J75">
        <v>43.3</v>
      </c>
      <c r="K75">
        <v>21.17</v>
      </c>
      <c r="L75">
        <v>42.57</v>
      </c>
    </row>
    <row r="76" spans="1:12" x14ac:dyDescent="0.25">
      <c r="A76">
        <v>5</v>
      </c>
      <c r="B76" t="s">
        <v>31</v>
      </c>
      <c r="C76">
        <v>20</v>
      </c>
      <c r="D76">
        <v>11</v>
      </c>
      <c r="E76">
        <v>4</v>
      </c>
      <c r="F76">
        <v>5</v>
      </c>
      <c r="G76">
        <v>39</v>
      </c>
      <c r="H76">
        <v>20</v>
      </c>
      <c r="I76">
        <v>37</v>
      </c>
      <c r="J76">
        <v>36.71</v>
      </c>
      <c r="K76">
        <v>17.41</v>
      </c>
      <c r="L76">
        <v>41.42</v>
      </c>
    </row>
    <row r="77" spans="1:12" x14ac:dyDescent="0.25">
      <c r="A77">
        <v>6</v>
      </c>
      <c r="B77" t="s">
        <v>32</v>
      </c>
      <c r="C77">
        <v>20</v>
      </c>
      <c r="D77">
        <v>11</v>
      </c>
      <c r="E77">
        <v>4</v>
      </c>
      <c r="F77">
        <v>5</v>
      </c>
      <c r="G77">
        <v>37</v>
      </c>
      <c r="H77">
        <v>25</v>
      </c>
      <c r="I77">
        <v>37</v>
      </c>
      <c r="J77">
        <v>40.119999999999997</v>
      </c>
      <c r="K77">
        <v>22.19</v>
      </c>
      <c r="L77">
        <v>38.69</v>
      </c>
    </row>
    <row r="78" spans="1:12" x14ac:dyDescent="0.25">
      <c r="A78">
        <v>7</v>
      </c>
      <c r="B78" t="s">
        <v>33</v>
      </c>
      <c r="C78">
        <v>20</v>
      </c>
      <c r="D78">
        <v>9</v>
      </c>
      <c r="E78">
        <v>6</v>
      </c>
      <c r="F78">
        <v>5</v>
      </c>
      <c r="G78">
        <v>18</v>
      </c>
      <c r="H78">
        <v>17</v>
      </c>
      <c r="I78">
        <v>33</v>
      </c>
      <c r="J78">
        <v>13.08</v>
      </c>
      <c r="K78">
        <v>28.44</v>
      </c>
      <c r="L78">
        <v>17.579999999999998</v>
      </c>
    </row>
    <row r="79" spans="1:12" x14ac:dyDescent="0.25">
      <c r="A79">
        <v>8</v>
      </c>
      <c r="B79" t="s">
        <v>34</v>
      </c>
      <c r="C79">
        <v>20</v>
      </c>
      <c r="D79">
        <v>7</v>
      </c>
      <c r="E79">
        <v>6</v>
      </c>
      <c r="F79">
        <v>7</v>
      </c>
      <c r="G79">
        <v>30</v>
      </c>
      <c r="H79">
        <v>30</v>
      </c>
      <c r="I79">
        <v>27</v>
      </c>
      <c r="J79">
        <v>25.28</v>
      </c>
      <c r="K79">
        <v>27.39</v>
      </c>
      <c r="L79">
        <v>27.37</v>
      </c>
    </row>
    <row r="80" spans="1:12" x14ac:dyDescent="0.25">
      <c r="A80">
        <v>9</v>
      </c>
      <c r="B80" t="s">
        <v>35</v>
      </c>
      <c r="C80">
        <v>20</v>
      </c>
      <c r="D80">
        <v>7</v>
      </c>
      <c r="E80">
        <v>6</v>
      </c>
      <c r="F80">
        <v>7</v>
      </c>
      <c r="G80">
        <v>24</v>
      </c>
      <c r="H80">
        <v>30</v>
      </c>
      <c r="I80">
        <v>27</v>
      </c>
      <c r="J80">
        <v>21.82</v>
      </c>
      <c r="K80">
        <v>28.69</v>
      </c>
      <c r="L80">
        <v>24.36</v>
      </c>
    </row>
    <row r="81" spans="1:12" x14ac:dyDescent="0.25">
      <c r="A81">
        <v>10</v>
      </c>
      <c r="B81" t="s">
        <v>36</v>
      </c>
      <c r="C81">
        <v>20</v>
      </c>
      <c r="D81">
        <v>7</v>
      </c>
      <c r="E81">
        <v>4</v>
      </c>
      <c r="F81">
        <v>9</v>
      </c>
      <c r="G81">
        <v>29</v>
      </c>
      <c r="H81">
        <v>35</v>
      </c>
      <c r="I81">
        <v>25</v>
      </c>
      <c r="J81">
        <v>26.01</v>
      </c>
      <c r="K81">
        <v>30.99</v>
      </c>
      <c r="L81">
        <v>24.9</v>
      </c>
    </row>
    <row r="82" spans="1:12" x14ac:dyDescent="0.25">
      <c r="A82">
        <v>11</v>
      </c>
      <c r="B82" t="s">
        <v>37</v>
      </c>
      <c r="C82">
        <v>20</v>
      </c>
      <c r="D82">
        <v>6</v>
      </c>
      <c r="E82">
        <v>5</v>
      </c>
      <c r="F82">
        <v>9</v>
      </c>
      <c r="G82">
        <v>18</v>
      </c>
      <c r="H82">
        <v>32</v>
      </c>
      <c r="I82">
        <v>23</v>
      </c>
      <c r="J82">
        <v>19.27</v>
      </c>
      <c r="K82">
        <v>27.89</v>
      </c>
      <c r="L82">
        <v>21.19</v>
      </c>
    </row>
    <row r="83" spans="1:12" x14ac:dyDescent="0.25">
      <c r="A83">
        <v>12</v>
      </c>
      <c r="B83" t="s">
        <v>38</v>
      </c>
      <c r="C83">
        <v>20</v>
      </c>
      <c r="D83">
        <v>5</v>
      </c>
      <c r="E83">
        <v>6</v>
      </c>
      <c r="F83">
        <v>9</v>
      </c>
      <c r="G83">
        <v>15</v>
      </c>
      <c r="H83">
        <v>25</v>
      </c>
      <c r="I83">
        <v>21</v>
      </c>
      <c r="J83">
        <v>16.059999999999999</v>
      </c>
      <c r="K83">
        <v>28.37</v>
      </c>
      <c r="L83">
        <v>18.71</v>
      </c>
    </row>
    <row r="84" spans="1:12" x14ac:dyDescent="0.25">
      <c r="A84">
        <v>13</v>
      </c>
      <c r="B84" t="s">
        <v>39</v>
      </c>
      <c r="C84">
        <v>20</v>
      </c>
      <c r="D84">
        <v>5</v>
      </c>
      <c r="E84">
        <v>5</v>
      </c>
      <c r="F84">
        <v>10</v>
      </c>
      <c r="G84">
        <v>23</v>
      </c>
      <c r="H84">
        <v>41</v>
      </c>
      <c r="I84">
        <v>20</v>
      </c>
      <c r="J84">
        <v>21.27</v>
      </c>
      <c r="K84">
        <v>35.03</v>
      </c>
      <c r="L84">
        <v>20.65</v>
      </c>
    </row>
    <row r="85" spans="1:12" x14ac:dyDescent="0.25">
      <c r="A85">
        <v>14</v>
      </c>
      <c r="B85" t="s">
        <v>40</v>
      </c>
      <c r="C85">
        <v>20</v>
      </c>
      <c r="D85">
        <v>4</v>
      </c>
      <c r="E85">
        <v>7</v>
      </c>
      <c r="F85">
        <v>9</v>
      </c>
      <c r="G85">
        <v>20</v>
      </c>
      <c r="H85">
        <v>30</v>
      </c>
      <c r="I85">
        <v>19</v>
      </c>
      <c r="J85">
        <v>24.4</v>
      </c>
      <c r="K85">
        <v>26.21</v>
      </c>
      <c r="L85">
        <v>26.67</v>
      </c>
    </row>
    <row r="86" spans="1:12" x14ac:dyDescent="0.25">
      <c r="A86">
        <v>15</v>
      </c>
      <c r="B86" t="s">
        <v>41</v>
      </c>
      <c r="C86">
        <v>20</v>
      </c>
      <c r="D86">
        <v>5</v>
      </c>
      <c r="E86">
        <v>3</v>
      </c>
      <c r="F86">
        <v>12</v>
      </c>
      <c r="G86">
        <v>19</v>
      </c>
      <c r="H86">
        <v>30</v>
      </c>
      <c r="I86">
        <v>18</v>
      </c>
      <c r="J86">
        <v>19.63</v>
      </c>
      <c r="K86">
        <v>28.74</v>
      </c>
      <c r="L86">
        <v>21.1</v>
      </c>
    </row>
    <row r="87" spans="1:12" x14ac:dyDescent="0.25">
      <c r="A87">
        <v>16</v>
      </c>
      <c r="B87" t="s">
        <v>42</v>
      </c>
      <c r="C87">
        <v>20</v>
      </c>
      <c r="D87">
        <v>4</v>
      </c>
      <c r="E87">
        <v>6</v>
      </c>
      <c r="F87">
        <v>10</v>
      </c>
      <c r="G87">
        <v>18</v>
      </c>
      <c r="H87">
        <v>32</v>
      </c>
      <c r="I87">
        <v>18</v>
      </c>
      <c r="J87">
        <v>28.54</v>
      </c>
      <c r="K87">
        <v>28.91</v>
      </c>
      <c r="L87">
        <v>29.71</v>
      </c>
    </row>
    <row r="88" spans="1:12" x14ac:dyDescent="0.25">
      <c r="A88">
        <v>17</v>
      </c>
      <c r="B88" t="s">
        <v>43</v>
      </c>
      <c r="C88">
        <v>20</v>
      </c>
      <c r="D88">
        <v>4</v>
      </c>
      <c r="E88">
        <v>6</v>
      </c>
      <c r="F88">
        <v>10</v>
      </c>
      <c r="G88">
        <v>22</v>
      </c>
      <c r="H88">
        <v>38</v>
      </c>
      <c r="I88">
        <v>18</v>
      </c>
      <c r="J88">
        <v>21.4</v>
      </c>
      <c r="K88">
        <v>32.64</v>
      </c>
      <c r="L88">
        <v>20.11</v>
      </c>
    </row>
    <row r="89" spans="1:12" x14ac:dyDescent="0.25">
      <c r="A89">
        <v>18</v>
      </c>
      <c r="B89" t="s">
        <v>44</v>
      </c>
      <c r="C89">
        <v>20</v>
      </c>
      <c r="D89">
        <v>4</v>
      </c>
      <c r="E89">
        <v>5</v>
      </c>
      <c r="F89">
        <v>11</v>
      </c>
      <c r="G89">
        <v>18</v>
      </c>
      <c r="H89">
        <v>31</v>
      </c>
      <c r="I89">
        <v>17</v>
      </c>
      <c r="J89">
        <v>17.72</v>
      </c>
      <c r="K89">
        <v>33.979999999999997</v>
      </c>
      <c r="L89">
        <v>17.62</v>
      </c>
    </row>
    <row r="90" spans="1:12" x14ac:dyDescent="0.25">
      <c r="A90">
        <v>19</v>
      </c>
      <c r="B90" t="s">
        <v>45</v>
      </c>
      <c r="C90">
        <v>20</v>
      </c>
      <c r="D90">
        <v>2</v>
      </c>
      <c r="E90">
        <v>9</v>
      </c>
      <c r="F90">
        <v>9</v>
      </c>
      <c r="G90">
        <v>14</v>
      </c>
      <c r="H90">
        <v>27</v>
      </c>
      <c r="I90">
        <v>15</v>
      </c>
      <c r="J90">
        <v>18.12</v>
      </c>
      <c r="K90">
        <v>25.26</v>
      </c>
      <c r="L90">
        <v>22.06</v>
      </c>
    </row>
    <row r="91" spans="1:12" x14ac:dyDescent="0.25">
      <c r="A91">
        <v>20</v>
      </c>
      <c r="B91" t="s">
        <v>46</v>
      </c>
      <c r="C91">
        <v>20</v>
      </c>
      <c r="D91">
        <v>3</v>
      </c>
      <c r="E91">
        <v>4</v>
      </c>
      <c r="F91">
        <v>13</v>
      </c>
      <c r="G91">
        <v>11</v>
      </c>
      <c r="H91">
        <v>31</v>
      </c>
      <c r="I91">
        <v>13</v>
      </c>
      <c r="J91">
        <v>14.16</v>
      </c>
      <c r="K91">
        <v>31.96</v>
      </c>
      <c r="L91">
        <v>17.07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sqref="A1:L21"/>
    </sheetView>
  </sheetViews>
  <sheetFormatPr defaultColWidth="10.6640625" defaultRowHeight="15" x14ac:dyDescent="0.25"/>
  <sheetData>
    <row r="1" spans="1:12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 x14ac:dyDescent="0.25">
      <c r="A2">
        <v>1</v>
      </c>
      <c r="B2" t="s">
        <v>27</v>
      </c>
      <c r="C2">
        <v>10</v>
      </c>
      <c r="D2">
        <v>9</v>
      </c>
      <c r="E2">
        <v>1</v>
      </c>
      <c r="F2">
        <v>0</v>
      </c>
      <c r="G2">
        <v>35</v>
      </c>
      <c r="H2">
        <v>6</v>
      </c>
      <c r="I2">
        <v>28</v>
      </c>
      <c r="J2">
        <v>29.81</v>
      </c>
      <c r="K2">
        <v>6.23</v>
      </c>
      <c r="L2">
        <v>25.68</v>
      </c>
    </row>
    <row r="3" spans="1:12" x14ac:dyDescent="0.25">
      <c r="A3">
        <v>2</v>
      </c>
      <c r="B3" t="s">
        <v>28</v>
      </c>
      <c r="C3">
        <v>10</v>
      </c>
      <c r="D3">
        <v>7</v>
      </c>
      <c r="E3">
        <v>2</v>
      </c>
      <c r="F3">
        <v>1</v>
      </c>
      <c r="G3">
        <v>23</v>
      </c>
      <c r="H3">
        <v>4</v>
      </c>
      <c r="I3">
        <v>23</v>
      </c>
      <c r="J3">
        <v>20.57</v>
      </c>
      <c r="K3">
        <v>9.49</v>
      </c>
      <c r="L3">
        <v>19.61</v>
      </c>
    </row>
    <row r="4" spans="1:12" x14ac:dyDescent="0.25">
      <c r="A4">
        <v>3</v>
      </c>
      <c r="B4" t="s">
        <v>31</v>
      </c>
      <c r="C4">
        <v>10</v>
      </c>
      <c r="D4">
        <v>6</v>
      </c>
      <c r="E4">
        <v>2</v>
      </c>
      <c r="F4">
        <v>2</v>
      </c>
      <c r="G4">
        <v>19</v>
      </c>
      <c r="H4">
        <v>7</v>
      </c>
      <c r="I4">
        <v>20</v>
      </c>
      <c r="J4">
        <v>17.45</v>
      </c>
      <c r="K4">
        <v>6.11</v>
      </c>
      <c r="L4">
        <v>21.97</v>
      </c>
    </row>
    <row r="5" spans="1:12" x14ac:dyDescent="0.25">
      <c r="A5">
        <v>4</v>
      </c>
      <c r="B5" t="s">
        <v>29</v>
      </c>
      <c r="C5">
        <v>10</v>
      </c>
      <c r="D5">
        <v>6</v>
      </c>
      <c r="E5">
        <v>1</v>
      </c>
      <c r="F5">
        <v>3</v>
      </c>
      <c r="G5">
        <v>18</v>
      </c>
      <c r="H5">
        <v>10</v>
      </c>
      <c r="I5">
        <v>19</v>
      </c>
      <c r="J5">
        <v>11.89</v>
      </c>
      <c r="K5">
        <v>9.99</v>
      </c>
      <c r="L5">
        <v>15.14</v>
      </c>
    </row>
    <row r="6" spans="1:12" x14ac:dyDescent="0.25">
      <c r="A6">
        <v>5</v>
      </c>
      <c r="B6" t="s">
        <v>32</v>
      </c>
      <c r="C6">
        <v>10</v>
      </c>
      <c r="D6">
        <v>6</v>
      </c>
      <c r="E6">
        <v>1</v>
      </c>
      <c r="F6">
        <v>3</v>
      </c>
      <c r="G6">
        <v>19</v>
      </c>
      <c r="H6">
        <v>13</v>
      </c>
      <c r="I6">
        <v>19</v>
      </c>
      <c r="J6">
        <v>20.440000000000001</v>
      </c>
      <c r="K6">
        <v>11.39</v>
      </c>
      <c r="L6">
        <v>20.07</v>
      </c>
    </row>
    <row r="7" spans="1:12" x14ac:dyDescent="0.25">
      <c r="A7">
        <v>6</v>
      </c>
      <c r="B7" t="s">
        <v>30</v>
      </c>
      <c r="C7">
        <v>10</v>
      </c>
      <c r="D7">
        <v>4</v>
      </c>
      <c r="E7">
        <v>4</v>
      </c>
      <c r="F7">
        <v>2</v>
      </c>
      <c r="G7">
        <v>17</v>
      </c>
      <c r="H7">
        <v>16</v>
      </c>
      <c r="I7">
        <v>16</v>
      </c>
      <c r="J7">
        <v>20.09</v>
      </c>
      <c r="K7">
        <v>12.94</v>
      </c>
      <c r="L7">
        <v>19.09</v>
      </c>
    </row>
    <row r="8" spans="1:12" x14ac:dyDescent="0.25">
      <c r="A8">
        <v>7</v>
      </c>
      <c r="B8" t="s">
        <v>33</v>
      </c>
      <c r="C8">
        <v>10</v>
      </c>
      <c r="D8">
        <v>4</v>
      </c>
      <c r="E8">
        <v>4</v>
      </c>
      <c r="F8">
        <v>2</v>
      </c>
      <c r="G8">
        <v>9</v>
      </c>
      <c r="H8">
        <v>9</v>
      </c>
      <c r="I8">
        <v>16</v>
      </c>
      <c r="J8">
        <v>6</v>
      </c>
      <c r="K8">
        <v>14.59</v>
      </c>
      <c r="L8">
        <v>8.69</v>
      </c>
    </row>
    <row r="9" spans="1:12" x14ac:dyDescent="0.25">
      <c r="A9">
        <v>8</v>
      </c>
      <c r="B9" t="s">
        <v>36</v>
      </c>
      <c r="C9">
        <v>10</v>
      </c>
      <c r="D9">
        <v>4</v>
      </c>
      <c r="E9">
        <v>3</v>
      </c>
      <c r="F9">
        <v>3</v>
      </c>
      <c r="G9">
        <v>15</v>
      </c>
      <c r="H9">
        <v>18</v>
      </c>
      <c r="I9">
        <v>15</v>
      </c>
      <c r="J9">
        <v>13.47</v>
      </c>
      <c r="K9">
        <v>15.66</v>
      </c>
      <c r="L9">
        <v>12.81</v>
      </c>
    </row>
    <row r="10" spans="1:12" x14ac:dyDescent="0.25">
      <c r="A10">
        <v>9</v>
      </c>
      <c r="B10" t="s">
        <v>41</v>
      </c>
      <c r="C10">
        <v>10</v>
      </c>
      <c r="D10">
        <v>4</v>
      </c>
      <c r="E10">
        <v>2</v>
      </c>
      <c r="F10">
        <v>4</v>
      </c>
      <c r="G10">
        <v>10</v>
      </c>
      <c r="H10">
        <v>9</v>
      </c>
      <c r="I10">
        <v>14</v>
      </c>
      <c r="J10">
        <v>11.45</v>
      </c>
      <c r="K10">
        <v>10.79</v>
      </c>
      <c r="L10">
        <v>13.64</v>
      </c>
    </row>
    <row r="11" spans="1:12" x14ac:dyDescent="0.25">
      <c r="A11">
        <v>10</v>
      </c>
      <c r="B11" t="s">
        <v>40</v>
      </c>
      <c r="C11">
        <v>10</v>
      </c>
      <c r="D11">
        <v>3</v>
      </c>
      <c r="E11">
        <v>4</v>
      </c>
      <c r="F11">
        <v>3</v>
      </c>
      <c r="G11">
        <v>9</v>
      </c>
      <c r="H11">
        <v>10</v>
      </c>
      <c r="I11">
        <v>13</v>
      </c>
      <c r="J11">
        <v>13.11</v>
      </c>
      <c r="K11">
        <v>12.78</v>
      </c>
      <c r="L11">
        <v>13.6</v>
      </c>
    </row>
    <row r="12" spans="1:12" x14ac:dyDescent="0.25">
      <c r="A12">
        <v>11</v>
      </c>
      <c r="B12" t="s">
        <v>34</v>
      </c>
      <c r="C12">
        <v>10</v>
      </c>
      <c r="D12">
        <v>3</v>
      </c>
      <c r="E12">
        <v>3</v>
      </c>
      <c r="F12">
        <v>4</v>
      </c>
      <c r="G12">
        <v>14</v>
      </c>
      <c r="H12">
        <v>14</v>
      </c>
      <c r="I12">
        <v>12</v>
      </c>
      <c r="J12">
        <v>14.23</v>
      </c>
      <c r="K12">
        <v>11.76</v>
      </c>
      <c r="L12">
        <v>16.68</v>
      </c>
    </row>
    <row r="13" spans="1:12" x14ac:dyDescent="0.25">
      <c r="A13">
        <v>12</v>
      </c>
      <c r="B13" t="s">
        <v>38</v>
      </c>
      <c r="C13">
        <v>10</v>
      </c>
      <c r="D13">
        <v>3</v>
      </c>
      <c r="E13">
        <v>3</v>
      </c>
      <c r="F13">
        <v>4</v>
      </c>
      <c r="G13">
        <v>10</v>
      </c>
      <c r="H13">
        <v>11</v>
      </c>
      <c r="I13">
        <v>12</v>
      </c>
      <c r="J13">
        <v>8.06</v>
      </c>
      <c r="K13">
        <v>12.71</v>
      </c>
      <c r="L13">
        <v>10.54</v>
      </c>
    </row>
    <row r="14" spans="1:12" x14ac:dyDescent="0.25">
      <c r="A14">
        <v>13</v>
      </c>
      <c r="B14" t="s">
        <v>37</v>
      </c>
      <c r="C14">
        <v>10</v>
      </c>
      <c r="D14">
        <v>3</v>
      </c>
      <c r="E14">
        <v>3</v>
      </c>
      <c r="F14">
        <v>4</v>
      </c>
      <c r="G14">
        <v>7</v>
      </c>
      <c r="H14">
        <v>13</v>
      </c>
      <c r="I14">
        <v>12</v>
      </c>
      <c r="J14">
        <v>6.99</v>
      </c>
      <c r="K14">
        <v>12.48</v>
      </c>
      <c r="L14">
        <v>9.2799999999999994</v>
      </c>
    </row>
    <row r="15" spans="1:12" x14ac:dyDescent="0.25">
      <c r="A15">
        <v>14</v>
      </c>
      <c r="B15" t="s">
        <v>39</v>
      </c>
      <c r="C15">
        <v>10</v>
      </c>
      <c r="D15">
        <v>3</v>
      </c>
      <c r="E15">
        <v>2</v>
      </c>
      <c r="F15">
        <v>5</v>
      </c>
      <c r="G15">
        <v>11</v>
      </c>
      <c r="H15">
        <v>20</v>
      </c>
      <c r="I15">
        <v>11</v>
      </c>
      <c r="J15">
        <v>10.47</v>
      </c>
      <c r="K15">
        <v>17.36</v>
      </c>
      <c r="L15">
        <v>9.9</v>
      </c>
    </row>
    <row r="16" spans="1:12" x14ac:dyDescent="0.25">
      <c r="A16">
        <v>15</v>
      </c>
      <c r="B16" t="s">
        <v>45</v>
      </c>
      <c r="C16">
        <v>10</v>
      </c>
      <c r="D16">
        <v>2</v>
      </c>
      <c r="E16">
        <v>4</v>
      </c>
      <c r="F16">
        <v>4</v>
      </c>
      <c r="G16">
        <v>9</v>
      </c>
      <c r="H16">
        <v>13</v>
      </c>
      <c r="I16">
        <v>10</v>
      </c>
      <c r="J16">
        <v>8.84</v>
      </c>
      <c r="K16">
        <v>13.17</v>
      </c>
      <c r="L16">
        <v>10.7</v>
      </c>
    </row>
    <row r="17" spans="1:12" x14ac:dyDescent="0.25">
      <c r="A17">
        <v>16</v>
      </c>
      <c r="B17" t="s">
        <v>43</v>
      </c>
      <c r="C17">
        <v>10</v>
      </c>
      <c r="D17">
        <v>2</v>
      </c>
      <c r="E17">
        <v>3</v>
      </c>
      <c r="F17">
        <v>5</v>
      </c>
      <c r="G17">
        <v>10</v>
      </c>
      <c r="H17">
        <v>19</v>
      </c>
      <c r="I17">
        <v>9</v>
      </c>
      <c r="J17">
        <v>8.4499999999999993</v>
      </c>
      <c r="K17">
        <v>15.9</v>
      </c>
      <c r="L17">
        <v>9.2100000000000009</v>
      </c>
    </row>
    <row r="18" spans="1:12" x14ac:dyDescent="0.25">
      <c r="A18">
        <v>17</v>
      </c>
      <c r="B18" t="s">
        <v>46</v>
      </c>
      <c r="C18">
        <v>10</v>
      </c>
      <c r="D18">
        <v>2</v>
      </c>
      <c r="E18">
        <v>2</v>
      </c>
      <c r="F18">
        <v>6</v>
      </c>
      <c r="G18">
        <v>7</v>
      </c>
      <c r="H18">
        <v>12</v>
      </c>
      <c r="I18">
        <v>8</v>
      </c>
      <c r="J18">
        <v>8.0500000000000007</v>
      </c>
      <c r="K18">
        <v>15.39</v>
      </c>
      <c r="L18">
        <v>9.42</v>
      </c>
    </row>
    <row r="19" spans="1:12" x14ac:dyDescent="0.25">
      <c r="A19">
        <v>18</v>
      </c>
      <c r="B19" t="s">
        <v>35</v>
      </c>
      <c r="C19">
        <v>10</v>
      </c>
      <c r="D19">
        <v>2</v>
      </c>
      <c r="E19">
        <v>2</v>
      </c>
      <c r="F19">
        <v>6</v>
      </c>
      <c r="G19">
        <v>7</v>
      </c>
      <c r="H19">
        <v>20</v>
      </c>
      <c r="I19">
        <v>8</v>
      </c>
      <c r="J19">
        <v>9.85</v>
      </c>
      <c r="K19">
        <v>15.11</v>
      </c>
      <c r="L19">
        <v>11.17</v>
      </c>
    </row>
    <row r="20" spans="1:12" x14ac:dyDescent="0.25">
      <c r="A20">
        <v>19</v>
      </c>
      <c r="B20" t="s">
        <v>44</v>
      </c>
      <c r="C20">
        <v>10</v>
      </c>
      <c r="D20">
        <v>2</v>
      </c>
      <c r="E20">
        <v>1</v>
      </c>
      <c r="F20">
        <v>7</v>
      </c>
      <c r="G20">
        <v>6</v>
      </c>
      <c r="H20">
        <v>14</v>
      </c>
      <c r="I20">
        <v>7</v>
      </c>
      <c r="J20">
        <v>7.07</v>
      </c>
      <c r="K20">
        <v>16.64</v>
      </c>
      <c r="L20">
        <v>7.21</v>
      </c>
    </row>
    <row r="21" spans="1:12" x14ac:dyDescent="0.25">
      <c r="A21">
        <v>20</v>
      </c>
      <c r="B21" t="s">
        <v>42</v>
      </c>
      <c r="C21">
        <v>10</v>
      </c>
      <c r="D21">
        <v>1</v>
      </c>
      <c r="E21">
        <v>1</v>
      </c>
      <c r="F21">
        <v>8</v>
      </c>
      <c r="G21">
        <v>4</v>
      </c>
      <c r="H21">
        <v>21</v>
      </c>
      <c r="I21">
        <v>4</v>
      </c>
      <c r="J21">
        <v>12.16</v>
      </c>
      <c r="K21">
        <v>17.96</v>
      </c>
      <c r="L21">
        <v>13.04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>
      <selection sqref="A1:L21"/>
    </sheetView>
  </sheetViews>
  <sheetFormatPr defaultColWidth="10.6640625" defaultRowHeight="15" x14ac:dyDescent="0.25"/>
  <sheetData>
    <row r="1" spans="1:12" x14ac:dyDescent="0.25"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 x14ac:dyDescent="0.25">
      <c r="A2">
        <v>1</v>
      </c>
      <c r="B2" t="s">
        <v>27</v>
      </c>
      <c r="C2">
        <v>15</v>
      </c>
      <c r="D2">
        <v>14</v>
      </c>
      <c r="E2">
        <v>1</v>
      </c>
      <c r="F2">
        <v>0</v>
      </c>
      <c r="G2">
        <v>46</v>
      </c>
      <c r="H2">
        <v>10</v>
      </c>
      <c r="I2">
        <v>43</v>
      </c>
      <c r="J2">
        <v>41.13</v>
      </c>
      <c r="K2">
        <v>9.39</v>
      </c>
      <c r="L2">
        <v>38.17</v>
      </c>
    </row>
    <row r="3" spans="1:12" x14ac:dyDescent="0.25">
      <c r="A3">
        <v>2</v>
      </c>
      <c r="B3" t="s">
        <v>28</v>
      </c>
      <c r="C3">
        <v>15</v>
      </c>
      <c r="D3">
        <v>11</v>
      </c>
      <c r="E3">
        <v>2</v>
      </c>
      <c r="F3">
        <v>2</v>
      </c>
      <c r="G3">
        <v>35</v>
      </c>
      <c r="H3">
        <v>9</v>
      </c>
      <c r="I3">
        <v>35</v>
      </c>
      <c r="J3">
        <v>29.12</v>
      </c>
      <c r="K3">
        <v>18.52</v>
      </c>
      <c r="L3">
        <v>26.72</v>
      </c>
    </row>
    <row r="4" spans="1:12" x14ac:dyDescent="0.25">
      <c r="A4">
        <v>3</v>
      </c>
      <c r="B4" t="s">
        <v>29</v>
      </c>
      <c r="C4">
        <v>15</v>
      </c>
      <c r="D4">
        <v>10</v>
      </c>
      <c r="E4">
        <v>2</v>
      </c>
      <c r="F4">
        <v>3</v>
      </c>
      <c r="G4">
        <v>28</v>
      </c>
      <c r="H4">
        <v>12</v>
      </c>
      <c r="I4">
        <v>32</v>
      </c>
      <c r="J4">
        <v>21.57</v>
      </c>
      <c r="K4">
        <v>13.42</v>
      </c>
      <c r="L4">
        <v>26.05</v>
      </c>
    </row>
    <row r="5" spans="1:12" x14ac:dyDescent="0.25">
      <c r="A5">
        <v>4</v>
      </c>
      <c r="B5" t="s">
        <v>30</v>
      </c>
      <c r="C5">
        <v>15</v>
      </c>
      <c r="D5">
        <v>8</v>
      </c>
      <c r="E5">
        <v>5</v>
      </c>
      <c r="F5">
        <v>2</v>
      </c>
      <c r="G5">
        <v>33</v>
      </c>
      <c r="H5">
        <v>19</v>
      </c>
      <c r="I5">
        <v>29</v>
      </c>
      <c r="J5">
        <v>30.9</v>
      </c>
      <c r="K5">
        <v>17.88</v>
      </c>
      <c r="L5">
        <v>30.04</v>
      </c>
    </row>
    <row r="6" spans="1:12" x14ac:dyDescent="0.25">
      <c r="A6">
        <v>5</v>
      </c>
      <c r="B6" t="s">
        <v>32</v>
      </c>
      <c r="C6">
        <v>15</v>
      </c>
      <c r="D6">
        <v>9</v>
      </c>
      <c r="E6">
        <v>1</v>
      </c>
      <c r="F6">
        <v>5</v>
      </c>
      <c r="G6">
        <v>29</v>
      </c>
      <c r="H6">
        <v>19</v>
      </c>
      <c r="I6">
        <v>28</v>
      </c>
      <c r="J6">
        <v>33.5</v>
      </c>
      <c r="K6">
        <v>17.079999999999998</v>
      </c>
      <c r="L6">
        <v>30.86</v>
      </c>
    </row>
    <row r="7" spans="1:12" x14ac:dyDescent="0.25">
      <c r="A7">
        <v>6</v>
      </c>
      <c r="B7" t="s">
        <v>31</v>
      </c>
      <c r="C7">
        <v>15</v>
      </c>
      <c r="D7">
        <v>7</v>
      </c>
      <c r="E7">
        <v>4</v>
      </c>
      <c r="F7">
        <v>4</v>
      </c>
      <c r="G7">
        <v>23</v>
      </c>
      <c r="H7">
        <v>13</v>
      </c>
      <c r="I7">
        <v>25</v>
      </c>
      <c r="J7">
        <v>24.24</v>
      </c>
      <c r="K7">
        <v>11.44</v>
      </c>
      <c r="L7">
        <v>30.21</v>
      </c>
    </row>
    <row r="8" spans="1:12" x14ac:dyDescent="0.25">
      <c r="A8">
        <v>7</v>
      </c>
      <c r="B8" t="s">
        <v>33</v>
      </c>
      <c r="C8">
        <v>15</v>
      </c>
      <c r="D8">
        <v>7</v>
      </c>
      <c r="E8">
        <v>4</v>
      </c>
      <c r="F8">
        <v>4</v>
      </c>
      <c r="G8">
        <v>14</v>
      </c>
      <c r="H8">
        <v>12</v>
      </c>
      <c r="I8">
        <v>25</v>
      </c>
      <c r="J8">
        <v>9.9600000000000009</v>
      </c>
      <c r="K8">
        <v>20.09</v>
      </c>
      <c r="L8">
        <v>14.1</v>
      </c>
    </row>
    <row r="9" spans="1:12" x14ac:dyDescent="0.25">
      <c r="A9">
        <v>8</v>
      </c>
      <c r="B9" t="s">
        <v>36</v>
      </c>
      <c r="C9">
        <v>15</v>
      </c>
      <c r="D9">
        <v>6</v>
      </c>
      <c r="E9">
        <v>4</v>
      </c>
      <c r="F9">
        <v>5</v>
      </c>
      <c r="G9">
        <v>25</v>
      </c>
      <c r="H9">
        <v>26</v>
      </c>
      <c r="I9">
        <v>22</v>
      </c>
      <c r="J9">
        <v>20.47</v>
      </c>
      <c r="K9">
        <v>22.95</v>
      </c>
      <c r="L9">
        <v>19.05</v>
      </c>
    </row>
    <row r="10" spans="1:12" x14ac:dyDescent="0.25">
      <c r="A10">
        <v>9</v>
      </c>
      <c r="B10" t="s">
        <v>34</v>
      </c>
      <c r="C10">
        <v>15</v>
      </c>
      <c r="D10">
        <v>5</v>
      </c>
      <c r="E10">
        <v>5</v>
      </c>
      <c r="F10">
        <v>5</v>
      </c>
      <c r="G10">
        <v>20</v>
      </c>
      <c r="H10">
        <v>20</v>
      </c>
      <c r="I10">
        <v>20</v>
      </c>
      <c r="J10">
        <v>18.72</v>
      </c>
      <c r="K10">
        <v>19.46</v>
      </c>
      <c r="L10">
        <v>21.58</v>
      </c>
    </row>
    <row r="11" spans="1:12" x14ac:dyDescent="0.25">
      <c r="A11">
        <v>10</v>
      </c>
      <c r="B11" t="s">
        <v>35</v>
      </c>
      <c r="C11">
        <v>15</v>
      </c>
      <c r="D11">
        <v>5</v>
      </c>
      <c r="E11">
        <v>3</v>
      </c>
      <c r="F11">
        <v>7</v>
      </c>
      <c r="G11">
        <v>19</v>
      </c>
      <c r="H11">
        <v>28</v>
      </c>
      <c r="I11">
        <v>18</v>
      </c>
      <c r="J11">
        <v>16.850000000000001</v>
      </c>
      <c r="K11">
        <v>22.42</v>
      </c>
      <c r="L11">
        <v>18.18</v>
      </c>
    </row>
    <row r="12" spans="1:12" x14ac:dyDescent="0.25">
      <c r="A12">
        <v>11</v>
      </c>
      <c r="B12" t="s">
        <v>40</v>
      </c>
      <c r="C12">
        <v>15</v>
      </c>
      <c r="D12">
        <v>4</v>
      </c>
      <c r="E12">
        <v>5</v>
      </c>
      <c r="F12">
        <v>6</v>
      </c>
      <c r="G12">
        <v>15</v>
      </c>
      <c r="H12">
        <v>18</v>
      </c>
      <c r="I12">
        <v>17</v>
      </c>
      <c r="J12">
        <v>19.14</v>
      </c>
      <c r="K12">
        <v>17.89</v>
      </c>
      <c r="L12">
        <v>21.37</v>
      </c>
    </row>
    <row r="13" spans="1:12" x14ac:dyDescent="0.25">
      <c r="A13">
        <v>12</v>
      </c>
      <c r="B13" t="s">
        <v>38</v>
      </c>
      <c r="C13">
        <v>15</v>
      </c>
      <c r="D13">
        <v>4</v>
      </c>
      <c r="E13">
        <v>5</v>
      </c>
      <c r="F13">
        <v>6</v>
      </c>
      <c r="G13">
        <v>14</v>
      </c>
      <c r="H13">
        <v>19</v>
      </c>
      <c r="I13">
        <v>17</v>
      </c>
      <c r="J13">
        <v>12.13</v>
      </c>
      <c r="K13">
        <v>19.02</v>
      </c>
      <c r="L13">
        <v>15.1</v>
      </c>
    </row>
    <row r="14" spans="1:12" x14ac:dyDescent="0.25">
      <c r="A14">
        <v>13</v>
      </c>
      <c r="B14" t="s">
        <v>39</v>
      </c>
      <c r="C14">
        <v>15</v>
      </c>
      <c r="D14">
        <v>4</v>
      </c>
      <c r="E14">
        <v>4</v>
      </c>
      <c r="F14">
        <v>7</v>
      </c>
      <c r="G14">
        <v>18</v>
      </c>
      <c r="H14">
        <v>30</v>
      </c>
      <c r="I14">
        <v>16</v>
      </c>
      <c r="J14">
        <v>15.63</v>
      </c>
      <c r="K14">
        <v>23.64</v>
      </c>
      <c r="L14">
        <v>16.350000000000001</v>
      </c>
    </row>
    <row r="15" spans="1:12" x14ac:dyDescent="0.25">
      <c r="A15">
        <v>14</v>
      </c>
      <c r="B15" t="s">
        <v>44</v>
      </c>
      <c r="C15">
        <v>15</v>
      </c>
      <c r="D15">
        <v>4</v>
      </c>
      <c r="E15">
        <v>3</v>
      </c>
      <c r="F15">
        <v>8</v>
      </c>
      <c r="G15">
        <v>13</v>
      </c>
      <c r="H15">
        <v>17</v>
      </c>
      <c r="I15">
        <v>15</v>
      </c>
      <c r="J15">
        <v>12.22</v>
      </c>
      <c r="K15">
        <v>21.44</v>
      </c>
      <c r="L15">
        <v>14.1</v>
      </c>
    </row>
    <row r="16" spans="1:12" x14ac:dyDescent="0.25">
      <c r="A16">
        <v>15</v>
      </c>
      <c r="B16" t="s">
        <v>41</v>
      </c>
      <c r="C16">
        <v>15</v>
      </c>
      <c r="D16">
        <v>4</v>
      </c>
      <c r="E16">
        <v>3</v>
      </c>
      <c r="F16">
        <v>8</v>
      </c>
      <c r="G16">
        <v>14</v>
      </c>
      <c r="H16">
        <v>22</v>
      </c>
      <c r="I16">
        <v>15</v>
      </c>
      <c r="J16">
        <v>15.73</v>
      </c>
      <c r="K16">
        <v>20.63</v>
      </c>
      <c r="L16">
        <v>17.18</v>
      </c>
    </row>
    <row r="17" spans="1:12" x14ac:dyDescent="0.25">
      <c r="A17">
        <v>16</v>
      </c>
      <c r="B17" t="s">
        <v>37</v>
      </c>
      <c r="C17">
        <v>15</v>
      </c>
      <c r="D17">
        <v>4</v>
      </c>
      <c r="E17">
        <v>3</v>
      </c>
      <c r="F17">
        <v>8</v>
      </c>
      <c r="G17">
        <v>9</v>
      </c>
      <c r="H17">
        <v>26</v>
      </c>
      <c r="I17">
        <v>15</v>
      </c>
      <c r="J17">
        <v>9.65</v>
      </c>
      <c r="K17">
        <v>22.21</v>
      </c>
      <c r="L17">
        <v>12.31</v>
      </c>
    </row>
    <row r="18" spans="1:12" x14ac:dyDescent="0.25">
      <c r="A18">
        <v>17</v>
      </c>
      <c r="B18" t="s">
        <v>45</v>
      </c>
      <c r="C18">
        <v>15</v>
      </c>
      <c r="D18">
        <v>2</v>
      </c>
      <c r="E18">
        <v>7</v>
      </c>
      <c r="F18">
        <v>6</v>
      </c>
      <c r="G18">
        <v>12</v>
      </c>
      <c r="H18">
        <v>21</v>
      </c>
      <c r="I18">
        <v>13</v>
      </c>
      <c r="J18">
        <v>13.03</v>
      </c>
      <c r="K18">
        <v>19.010000000000002</v>
      </c>
      <c r="L18">
        <v>16.07</v>
      </c>
    </row>
    <row r="19" spans="1:12" x14ac:dyDescent="0.25">
      <c r="A19">
        <v>18</v>
      </c>
      <c r="B19" t="s">
        <v>42</v>
      </c>
      <c r="C19">
        <v>15</v>
      </c>
      <c r="D19">
        <v>2</v>
      </c>
      <c r="E19">
        <v>4</v>
      </c>
      <c r="F19">
        <v>9</v>
      </c>
      <c r="G19">
        <v>8</v>
      </c>
      <c r="H19">
        <v>25</v>
      </c>
      <c r="I19">
        <v>10</v>
      </c>
      <c r="J19">
        <v>18.16</v>
      </c>
      <c r="K19">
        <v>23.4</v>
      </c>
      <c r="L19">
        <v>20.36</v>
      </c>
    </row>
    <row r="20" spans="1:12" x14ac:dyDescent="0.25">
      <c r="A20">
        <v>19</v>
      </c>
      <c r="B20" t="s">
        <v>43</v>
      </c>
      <c r="C20">
        <v>15</v>
      </c>
      <c r="D20">
        <v>2</v>
      </c>
      <c r="E20">
        <v>4</v>
      </c>
      <c r="F20">
        <v>9</v>
      </c>
      <c r="G20">
        <v>13</v>
      </c>
      <c r="H20">
        <v>32</v>
      </c>
      <c r="I20">
        <v>10</v>
      </c>
      <c r="J20">
        <v>13.3</v>
      </c>
      <c r="K20">
        <v>24.7</v>
      </c>
      <c r="L20">
        <v>13.59</v>
      </c>
    </row>
    <row r="21" spans="1:12" x14ac:dyDescent="0.25">
      <c r="A21">
        <v>20</v>
      </c>
      <c r="B21" t="s">
        <v>46</v>
      </c>
      <c r="C21">
        <v>15</v>
      </c>
      <c r="D21">
        <v>2</v>
      </c>
      <c r="E21">
        <v>3</v>
      </c>
      <c r="F21">
        <v>10</v>
      </c>
      <c r="G21">
        <v>8</v>
      </c>
      <c r="H21">
        <v>18</v>
      </c>
      <c r="I21">
        <v>9</v>
      </c>
      <c r="J21">
        <v>10.97</v>
      </c>
      <c r="K21">
        <v>21.8</v>
      </c>
      <c r="L21">
        <v>13.89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F36" sqref="F36"/>
    </sheetView>
  </sheetViews>
  <sheetFormatPr defaultColWidth="10.6640625" defaultRowHeight="15" x14ac:dyDescent="0.25"/>
  <sheetData>
    <row r="1" spans="1:12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 x14ac:dyDescent="0.25">
      <c r="A2">
        <v>1</v>
      </c>
      <c r="B2" t="s">
        <v>27</v>
      </c>
      <c r="C2">
        <v>20</v>
      </c>
      <c r="D2">
        <v>19</v>
      </c>
      <c r="E2">
        <v>1</v>
      </c>
      <c r="F2">
        <v>0</v>
      </c>
      <c r="G2">
        <v>61</v>
      </c>
      <c r="H2">
        <v>12</v>
      </c>
      <c r="I2">
        <v>58</v>
      </c>
      <c r="J2">
        <v>54.37</v>
      </c>
      <c r="K2">
        <v>12.11</v>
      </c>
      <c r="L2">
        <v>50.87</v>
      </c>
    </row>
    <row r="3" spans="1:12" x14ac:dyDescent="0.25">
      <c r="A3">
        <v>2</v>
      </c>
      <c r="B3" t="s">
        <v>28</v>
      </c>
      <c r="C3">
        <v>20</v>
      </c>
      <c r="D3">
        <v>13</v>
      </c>
      <c r="E3">
        <v>4</v>
      </c>
      <c r="F3">
        <v>3</v>
      </c>
      <c r="G3">
        <v>43</v>
      </c>
      <c r="H3">
        <v>16</v>
      </c>
      <c r="I3">
        <v>43</v>
      </c>
      <c r="J3">
        <v>36.659999999999997</v>
      </c>
      <c r="K3">
        <v>24.79</v>
      </c>
      <c r="L3">
        <v>34.44</v>
      </c>
    </row>
    <row r="4" spans="1:12" x14ac:dyDescent="0.25">
      <c r="A4">
        <v>3</v>
      </c>
      <c r="B4" t="s">
        <v>29</v>
      </c>
      <c r="C4">
        <v>20</v>
      </c>
      <c r="D4">
        <v>13</v>
      </c>
      <c r="E4">
        <v>3</v>
      </c>
      <c r="F4">
        <v>4</v>
      </c>
      <c r="G4">
        <v>34</v>
      </c>
      <c r="H4">
        <v>14</v>
      </c>
      <c r="I4">
        <v>42</v>
      </c>
      <c r="J4">
        <v>29.94</v>
      </c>
      <c r="K4">
        <v>15.69</v>
      </c>
      <c r="L4">
        <v>37.630000000000003</v>
      </c>
    </row>
    <row r="5" spans="1:12" x14ac:dyDescent="0.25">
      <c r="A5">
        <v>4</v>
      </c>
      <c r="B5" t="s">
        <v>30</v>
      </c>
      <c r="C5">
        <v>20</v>
      </c>
      <c r="D5">
        <v>10</v>
      </c>
      <c r="E5">
        <v>8</v>
      </c>
      <c r="F5">
        <v>2</v>
      </c>
      <c r="G5">
        <v>46</v>
      </c>
      <c r="H5">
        <v>23</v>
      </c>
      <c r="I5">
        <v>38</v>
      </c>
      <c r="J5">
        <v>43.3</v>
      </c>
      <c r="K5">
        <v>21.17</v>
      </c>
      <c r="L5">
        <v>42.57</v>
      </c>
    </row>
    <row r="6" spans="1:12" x14ac:dyDescent="0.25">
      <c r="A6">
        <v>5</v>
      </c>
      <c r="B6" t="s">
        <v>31</v>
      </c>
      <c r="C6">
        <v>20</v>
      </c>
      <c r="D6">
        <v>11</v>
      </c>
      <c r="E6">
        <v>4</v>
      </c>
      <c r="F6">
        <v>5</v>
      </c>
      <c r="G6">
        <v>39</v>
      </c>
      <c r="H6">
        <v>20</v>
      </c>
      <c r="I6">
        <v>37</v>
      </c>
      <c r="J6">
        <v>36.71</v>
      </c>
      <c r="K6">
        <v>17.41</v>
      </c>
      <c r="L6">
        <v>41.42</v>
      </c>
    </row>
    <row r="7" spans="1:12" x14ac:dyDescent="0.25">
      <c r="A7">
        <v>6</v>
      </c>
      <c r="B7" t="s">
        <v>32</v>
      </c>
      <c r="C7">
        <v>20</v>
      </c>
      <c r="D7">
        <v>11</v>
      </c>
      <c r="E7">
        <v>4</v>
      </c>
      <c r="F7">
        <v>5</v>
      </c>
      <c r="G7">
        <v>37</v>
      </c>
      <c r="H7">
        <v>25</v>
      </c>
      <c r="I7">
        <v>37</v>
      </c>
      <c r="J7">
        <v>40.119999999999997</v>
      </c>
      <c r="K7">
        <v>22.19</v>
      </c>
      <c r="L7">
        <v>38.69</v>
      </c>
    </row>
    <row r="8" spans="1:12" x14ac:dyDescent="0.25">
      <c r="A8">
        <v>7</v>
      </c>
      <c r="B8" t="s">
        <v>33</v>
      </c>
      <c r="C8">
        <v>20</v>
      </c>
      <c r="D8">
        <v>9</v>
      </c>
      <c r="E8">
        <v>6</v>
      </c>
      <c r="F8">
        <v>5</v>
      </c>
      <c r="G8">
        <v>18</v>
      </c>
      <c r="H8">
        <v>17</v>
      </c>
      <c r="I8">
        <v>33</v>
      </c>
      <c r="J8">
        <v>13.08</v>
      </c>
      <c r="K8">
        <v>28.44</v>
      </c>
      <c r="L8">
        <v>17.579999999999998</v>
      </c>
    </row>
    <row r="9" spans="1:12" x14ac:dyDescent="0.25">
      <c r="A9">
        <v>8</v>
      </c>
      <c r="B9" t="s">
        <v>34</v>
      </c>
      <c r="C9">
        <v>20</v>
      </c>
      <c r="D9">
        <v>7</v>
      </c>
      <c r="E9">
        <v>6</v>
      </c>
      <c r="F9">
        <v>7</v>
      </c>
      <c r="G9">
        <v>30</v>
      </c>
      <c r="H9">
        <v>30</v>
      </c>
      <c r="I9">
        <v>27</v>
      </c>
      <c r="J9">
        <v>25.28</v>
      </c>
      <c r="K9">
        <v>27.39</v>
      </c>
      <c r="L9">
        <v>27.37</v>
      </c>
    </row>
    <row r="10" spans="1:12" x14ac:dyDescent="0.25">
      <c r="A10">
        <v>9</v>
      </c>
      <c r="B10" t="s">
        <v>35</v>
      </c>
      <c r="C10">
        <v>20</v>
      </c>
      <c r="D10">
        <v>7</v>
      </c>
      <c r="E10">
        <v>6</v>
      </c>
      <c r="F10">
        <v>7</v>
      </c>
      <c r="G10">
        <v>24</v>
      </c>
      <c r="H10">
        <v>30</v>
      </c>
      <c r="I10">
        <v>27</v>
      </c>
      <c r="J10">
        <v>21.82</v>
      </c>
      <c r="K10">
        <v>28.69</v>
      </c>
      <c r="L10">
        <v>24.36</v>
      </c>
    </row>
    <row r="11" spans="1:12" x14ac:dyDescent="0.25">
      <c r="A11">
        <v>10</v>
      </c>
      <c r="B11" t="s">
        <v>36</v>
      </c>
      <c r="C11">
        <v>20</v>
      </c>
      <c r="D11">
        <v>7</v>
      </c>
      <c r="E11">
        <v>4</v>
      </c>
      <c r="F11">
        <v>9</v>
      </c>
      <c r="G11">
        <v>29</v>
      </c>
      <c r="H11">
        <v>35</v>
      </c>
      <c r="I11">
        <v>25</v>
      </c>
      <c r="J11">
        <v>26.01</v>
      </c>
      <c r="K11">
        <v>30.99</v>
      </c>
      <c r="L11">
        <v>24.9</v>
      </c>
    </row>
    <row r="12" spans="1:12" x14ac:dyDescent="0.25">
      <c r="A12">
        <v>11</v>
      </c>
      <c r="B12" t="s">
        <v>37</v>
      </c>
      <c r="C12">
        <v>20</v>
      </c>
      <c r="D12">
        <v>6</v>
      </c>
      <c r="E12">
        <v>5</v>
      </c>
      <c r="F12">
        <v>9</v>
      </c>
      <c r="G12">
        <v>18</v>
      </c>
      <c r="H12">
        <v>32</v>
      </c>
      <c r="I12">
        <v>23</v>
      </c>
      <c r="J12">
        <v>19.27</v>
      </c>
      <c r="K12">
        <v>27.89</v>
      </c>
      <c r="L12">
        <v>21.19</v>
      </c>
    </row>
    <row r="13" spans="1:12" x14ac:dyDescent="0.25">
      <c r="A13">
        <v>12</v>
      </c>
      <c r="B13" t="s">
        <v>38</v>
      </c>
      <c r="C13">
        <v>20</v>
      </c>
      <c r="D13">
        <v>5</v>
      </c>
      <c r="E13">
        <v>6</v>
      </c>
      <c r="F13">
        <v>9</v>
      </c>
      <c r="G13">
        <v>15</v>
      </c>
      <c r="H13">
        <v>25</v>
      </c>
      <c r="I13">
        <v>21</v>
      </c>
      <c r="J13">
        <v>16.059999999999999</v>
      </c>
      <c r="K13">
        <v>28.37</v>
      </c>
      <c r="L13">
        <v>18.71</v>
      </c>
    </row>
    <row r="14" spans="1:12" x14ac:dyDescent="0.25">
      <c r="A14">
        <v>13</v>
      </c>
      <c r="B14" t="s">
        <v>39</v>
      </c>
      <c r="C14">
        <v>20</v>
      </c>
      <c r="D14">
        <v>5</v>
      </c>
      <c r="E14">
        <v>5</v>
      </c>
      <c r="F14">
        <v>10</v>
      </c>
      <c r="G14">
        <v>23</v>
      </c>
      <c r="H14">
        <v>41</v>
      </c>
      <c r="I14">
        <v>20</v>
      </c>
      <c r="J14">
        <v>21.27</v>
      </c>
      <c r="K14">
        <v>35.03</v>
      </c>
      <c r="L14">
        <v>20.65</v>
      </c>
    </row>
    <row r="15" spans="1:12" x14ac:dyDescent="0.25">
      <c r="A15">
        <v>14</v>
      </c>
      <c r="B15" t="s">
        <v>40</v>
      </c>
      <c r="C15">
        <v>20</v>
      </c>
      <c r="D15">
        <v>4</v>
      </c>
      <c r="E15">
        <v>7</v>
      </c>
      <c r="F15">
        <v>9</v>
      </c>
      <c r="G15">
        <v>20</v>
      </c>
      <c r="H15">
        <v>30</v>
      </c>
      <c r="I15">
        <v>19</v>
      </c>
      <c r="J15">
        <v>24.4</v>
      </c>
      <c r="K15">
        <v>26.21</v>
      </c>
      <c r="L15">
        <v>26.67</v>
      </c>
    </row>
    <row r="16" spans="1:12" x14ac:dyDescent="0.25">
      <c r="A16">
        <v>15</v>
      </c>
      <c r="B16" t="s">
        <v>41</v>
      </c>
      <c r="C16">
        <v>20</v>
      </c>
      <c r="D16">
        <v>5</v>
      </c>
      <c r="E16">
        <v>3</v>
      </c>
      <c r="F16">
        <v>12</v>
      </c>
      <c r="G16">
        <v>19</v>
      </c>
      <c r="H16">
        <v>30</v>
      </c>
      <c r="I16">
        <v>18</v>
      </c>
      <c r="J16">
        <v>19.63</v>
      </c>
      <c r="K16">
        <v>28.74</v>
      </c>
      <c r="L16">
        <v>21.1</v>
      </c>
    </row>
    <row r="17" spans="1:12" x14ac:dyDescent="0.25">
      <c r="A17">
        <v>16</v>
      </c>
      <c r="B17" t="s">
        <v>42</v>
      </c>
      <c r="C17">
        <v>20</v>
      </c>
      <c r="D17">
        <v>4</v>
      </c>
      <c r="E17">
        <v>6</v>
      </c>
      <c r="F17">
        <v>10</v>
      </c>
      <c r="G17">
        <v>18</v>
      </c>
      <c r="H17">
        <v>32</v>
      </c>
      <c r="I17">
        <v>18</v>
      </c>
      <c r="J17">
        <v>28.54</v>
      </c>
      <c r="K17">
        <v>28.91</v>
      </c>
      <c r="L17">
        <v>29.71</v>
      </c>
    </row>
    <row r="18" spans="1:12" x14ac:dyDescent="0.25">
      <c r="A18">
        <v>17</v>
      </c>
      <c r="B18" t="s">
        <v>43</v>
      </c>
      <c r="C18">
        <v>20</v>
      </c>
      <c r="D18">
        <v>4</v>
      </c>
      <c r="E18">
        <v>6</v>
      </c>
      <c r="F18">
        <v>10</v>
      </c>
      <c r="G18">
        <v>22</v>
      </c>
      <c r="H18">
        <v>38</v>
      </c>
      <c r="I18">
        <v>18</v>
      </c>
      <c r="J18">
        <v>21.4</v>
      </c>
      <c r="K18">
        <v>32.64</v>
      </c>
      <c r="L18">
        <v>20.11</v>
      </c>
    </row>
    <row r="19" spans="1:12" x14ac:dyDescent="0.25">
      <c r="A19">
        <v>18</v>
      </c>
      <c r="B19" t="s">
        <v>44</v>
      </c>
      <c r="C19">
        <v>20</v>
      </c>
      <c r="D19">
        <v>4</v>
      </c>
      <c r="E19">
        <v>5</v>
      </c>
      <c r="F19">
        <v>11</v>
      </c>
      <c r="G19">
        <v>18</v>
      </c>
      <c r="H19">
        <v>31</v>
      </c>
      <c r="I19">
        <v>17</v>
      </c>
      <c r="J19">
        <v>17.72</v>
      </c>
      <c r="K19">
        <v>33.979999999999997</v>
      </c>
      <c r="L19">
        <v>17.62</v>
      </c>
    </row>
    <row r="20" spans="1:12" x14ac:dyDescent="0.25">
      <c r="A20">
        <v>19</v>
      </c>
      <c r="B20" t="s">
        <v>45</v>
      </c>
      <c r="C20">
        <v>20</v>
      </c>
      <c r="D20">
        <v>2</v>
      </c>
      <c r="E20">
        <v>9</v>
      </c>
      <c r="F20">
        <v>9</v>
      </c>
      <c r="G20">
        <v>14</v>
      </c>
      <c r="H20">
        <v>27</v>
      </c>
      <c r="I20">
        <v>15</v>
      </c>
      <c r="J20">
        <v>18.12</v>
      </c>
      <c r="K20">
        <v>25.26</v>
      </c>
      <c r="L20">
        <v>22.06</v>
      </c>
    </row>
    <row r="21" spans="1:12" x14ac:dyDescent="0.25">
      <c r="A21">
        <v>20</v>
      </c>
      <c r="B21" t="s">
        <v>46</v>
      </c>
      <c r="C21">
        <v>20</v>
      </c>
      <c r="D21">
        <v>3</v>
      </c>
      <c r="E21">
        <v>4</v>
      </c>
      <c r="F21">
        <v>13</v>
      </c>
      <c r="G21">
        <v>11</v>
      </c>
      <c r="H21">
        <v>31</v>
      </c>
      <c r="I21">
        <v>13</v>
      </c>
      <c r="J21">
        <v>14.16</v>
      </c>
      <c r="K21">
        <v>31.96</v>
      </c>
      <c r="L21">
        <v>17.07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1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26.5" customWidth="1"/>
    <col min="2" max="2" width="15.33203125" customWidth="1"/>
    <col min="3" max="3" width="17.5" customWidth="1"/>
    <col min="4" max="4" width="18.6640625" customWidth="1"/>
    <col min="5" max="7" width="13" customWidth="1"/>
    <col min="8" max="8" width="11.25" customWidth="1"/>
    <col min="9" max="12" width="13" customWidth="1"/>
    <col min="13" max="13" width="12.33203125" customWidth="1"/>
    <col min="14" max="17" width="13" customWidth="1"/>
    <col min="18" max="18" width="15.58203125" customWidth="1"/>
    <col min="19" max="19" width="11.25" customWidth="1"/>
    <col min="20" max="20" width="12.33203125" customWidth="1"/>
    <col min="21" max="23" width="13" customWidth="1"/>
    <col min="24" max="24" width="12.33203125" customWidth="1"/>
    <col min="25" max="25" width="13.4140625" customWidth="1"/>
    <col min="26" max="26" width="16.6640625" customWidth="1"/>
    <col min="27" max="27" width="17.75" customWidth="1"/>
    <col min="28" max="28" width="13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X1" s="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 t="s">
        <v>27</v>
      </c>
      <c r="B2" s="2">
        <f>IFERROR((VLOOKUP($A2,'16-17'!$B:$L,6,FALSE)-VLOOKUP($A2,'16-17'!$B:$L,7,FALSE))/VLOOKUP($A2,'16-17'!$B:$L,2,FALSE),"")</f>
        <v>1.0789473684210527</v>
      </c>
      <c r="C2" s="2">
        <f>IFERROR((VLOOKUP($A2,'17-18 First 5'!$B:$L,6,FALSE)-VLOOKUP($A2,'17-18 First 5'!$B:$L,7,FALSE))/VLOOKUP($A2,'17-18 First 5'!$B:$L,2,FALSE),"")</f>
        <v>2.8</v>
      </c>
      <c r="D2" s="2">
        <f>IFERROR((VLOOKUP($A2,'17-18 First 10'!$B:$L,6,FALSE)-VLOOKUP($A2,'17-18 First 10'!$B:$L,7,FALSE))/VLOOKUP($A2,'17-18 First 10'!$B:$L,2,FALSE),"")</f>
        <v>2.9</v>
      </c>
      <c r="E2" s="2">
        <f>IFERROR((VLOOKUP($A2,'17-18 First 15'!$B:$L,6,FALSE)-VLOOKUP($A2,'17-18 First 15'!$B:$L,7,FALSE))/VLOOKUP($A2,'17-18 First 15'!$B:$L,2,FALSE),"")</f>
        <v>2.4</v>
      </c>
      <c r="F2" s="2">
        <f>IFERROR((VLOOKUP($A2,'17-18 First 20'!$B:$L,6,FALSE)-VLOOKUP($A2,'17-18 First 20'!$B:$L,7,FALSE))/VLOOKUP($A2,'17-18 First 20'!$B:$L,2,FALSE),"")</f>
        <v>2.4500000000000002</v>
      </c>
      <c r="G2" s="3">
        <v>1</v>
      </c>
      <c r="H2" s="3">
        <f t="shared" ref="H2:H21" si="0">IFERROR(RANK(B2,$B$2:$B$21,0),"")</f>
        <v>3</v>
      </c>
      <c r="I2" s="3">
        <f t="shared" ref="I2:I21" si="1">IFERROR(RANK(C2,$C$2:$C$21,0),"")</f>
        <v>1</v>
      </c>
      <c r="J2" s="3">
        <f t="shared" ref="J2:J21" si="2">IFERROR(RANK(D2,$D$2:$D$21,0),"")</f>
        <v>1</v>
      </c>
      <c r="K2" s="3">
        <f t="shared" ref="K2:K21" si="3">IFERROR(RANK(E2,$E$2:$E$21,0),"")</f>
        <v>1</v>
      </c>
      <c r="L2" s="3">
        <f t="shared" ref="L2:L21" si="4">IFERROR(RANK(F2,$F$2:$F$21,0),"")</f>
        <v>1</v>
      </c>
      <c r="M2" s="3">
        <f t="shared" ref="M2:M21" si="5">IFERROR(ABS(H2-$G2),"")</f>
        <v>2</v>
      </c>
      <c r="N2" s="3">
        <f t="shared" ref="N2:N21" si="6">IFERROR(ABS(I2-$G2),"")</f>
        <v>0</v>
      </c>
      <c r="O2" s="3">
        <f t="shared" ref="O2:O21" si="7">IFERROR(ABS(J2-$G2),"")</f>
        <v>0</v>
      </c>
      <c r="P2" s="3">
        <f t="shared" ref="P2:P21" si="8">IFERROR(ABS(K2-$G2),"")</f>
        <v>0</v>
      </c>
      <c r="Q2" s="3">
        <f t="shared" ref="Q2:Q21" si="9">IFERROR(ABS(L2-$G2),"")</f>
        <v>0</v>
      </c>
      <c r="R2" s="3">
        <f t="shared" ref="R2:R21" si="10">IFERROR(M2^2,"")</f>
        <v>4</v>
      </c>
      <c r="S2" s="3">
        <f t="shared" ref="S2:S21" si="11">IFERROR(N2^2,"")</f>
        <v>0</v>
      </c>
      <c r="T2" s="3">
        <f t="shared" ref="T2:T21" si="12">IFERROR(O2^2,"")</f>
        <v>0</v>
      </c>
      <c r="U2" s="3">
        <f t="shared" ref="U2:U21" si="13">IFERROR(P2^2,"")</f>
        <v>0</v>
      </c>
      <c r="V2" s="3">
        <f t="shared" ref="V2:V21" si="14">IFERROR(Q2^2,"")</f>
        <v>0</v>
      </c>
      <c r="X2">
        <v>5</v>
      </c>
      <c r="Y2" s="4">
        <f>AVERAGE(N$2:N$21)</f>
        <v>4.5999999999999996</v>
      </c>
      <c r="Z2" s="4">
        <f>SQRT(AVERAGE(S$2:S$21))</f>
        <v>6.0415229867972862</v>
      </c>
      <c r="AA2" s="4">
        <f>AVERAGE($M$2:$M$21)</f>
        <v>3.4705882352941178</v>
      </c>
      <c r="AB2" s="4">
        <f>SQRT(AVERAGE($R$2:$R$21))</f>
        <v>4.6336366101901127</v>
      </c>
    </row>
    <row r="3" spans="1:28" x14ac:dyDescent="0.25">
      <c r="A3" t="s">
        <v>28</v>
      </c>
      <c r="B3" s="2">
        <f>IFERROR((VLOOKUP($A3,'16-17'!$B:$L,6,FALSE)-VLOOKUP($A3,'16-17'!$B:$L,7,FALSE))/VLOOKUP($A3,'16-17'!$B:$L,2,FALSE),"")</f>
        <v>0.65789473684210531</v>
      </c>
      <c r="C3" s="2">
        <f>IFERROR((VLOOKUP($A3,'17-18 First 5'!$B:$L,6,FALSE)-VLOOKUP($A3,'17-18 First 5'!$B:$L,7,FALSE))/VLOOKUP($A3,'17-18 First 5'!$B:$L,2,FALSE),"")</f>
        <v>2.8</v>
      </c>
      <c r="D3" s="2">
        <f>IFERROR((VLOOKUP($A3,'17-18 First 10'!$B:$L,6,FALSE)-VLOOKUP($A3,'17-18 First 10'!$B:$L,7,FALSE))/VLOOKUP($A3,'17-18 First 10'!$B:$L,2,FALSE),"")</f>
        <v>1.9</v>
      </c>
      <c r="E3" s="2">
        <f>IFERROR((VLOOKUP($A3,'17-18 First 15'!$B:$L,6,FALSE)-VLOOKUP($A3,'17-18 First 15'!$B:$L,7,FALSE))/VLOOKUP($A3,'17-18 First 15'!$B:$L,2,FALSE),"")</f>
        <v>1.7333333333333334</v>
      </c>
      <c r="F3" s="2">
        <f>IFERROR((VLOOKUP($A3,'17-18 First 20'!$B:$L,6,FALSE)-VLOOKUP($A3,'17-18 First 20'!$B:$L,7,FALSE))/VLOOKUP($A3,'17-18 First 20'!$B:$L,2,FALSE),"")</f>
        <v>1.35</v>
      </c>
      <c r="G3" s="3">
        <v>2</v>
      </c>
      <c r="H3" s="3">
        <f t="shared" si="0"/>
        <v>6</v>
      </c>
      <c r="I3" s="3">
        <f t="shared" si="1"/>
        <v>1</v>
      </c>
      <c r="J3" s="3">
        <f t="shared" si="2"/>
        <v>2</v>
      </c>
      <c r="K3" s="3">
        <f t="shared" si="3"/>
        <v>2</v>
      </c>
      <c r="L3" s="3">
        <f t="shared" si="4"/>
        <v>2</v>
      </c>
      <c r="M3" s="3">
        <f t="shared" si="5"/>
        <v>4</v>
      </c>
      <c r="N3" s="3">
        <f t="shared" si="6"/>
        <v>1</v>
      </c>
      <c r="O3" s="3">
        <f t="shared" si="7"/>
        <v>0</v>
      </c>
      <c r="P3" s="3">
        <f t="shared" si="8"/>
        <v>0</v>
      </c>
      <c r="Q3" s="3">
        <f t="shared" si="9"/>
        <v>0</v>
      </c>
      <c r="R3" s="3">
        <f t="shared" si="10"/>
        <v>16</v>
      </c>
      <c r="S3" s="3">
        <f t="shared" si="11"/>
        <v>1</v>
      </c>
      <c r="T3" s="3">
        <f t="shared" si="12"/>
        <v>0</v>
      </c>
      <c r="U3" s="3">
        <f t="shared" si="13"/>
        <v>0</v>
      </c>
      <c r="V3" s="3">
        <f t="shared" si="14"/>
        <v>0</v>
      </c>
      <c r="X3">
        <v>10</v>
      </c>
      <c r="Y3" s="4">
        <f>AVERAGE(O$2:O$21)</f>
        <v>3.3</v>
      </c>
      <c r="Z3" s="4">
        <f>SQRT(AVERAGE(T$2:T$21))</f>
        <v>4.5055521304275237</v>
      </c>
      <c r="AA3" s="4">
        <f>AVERAGE($M$2:$M$21)</f>
        <v>3.4705882352941178</v>
      </c>
      <c r="AB3" s="4">
        <f>SQRT(AVERAGE($R$2:$R$21))</f>
        <v>4.6336366101901127</v>
      </c>
    </row>
    <row r="4" spans="1:28" x14ac:dyDescent="0.25">
      <c r="A4" t="s">
        <v>29</v>
      </c>
      <c r="B4" s="2">
        <f>IFERROR((VLOOKUP($A4,'16-17'!$B:$L,6,FALSE)-VLOOKUP($A4,'16-17'!$B:$L,7,FALSE))/VLOOKUP($A4,'16-17'!$B:$L,2,FALSE),"")</f>
        <v>1.368421052631579</v>
      </c>
      <c r="C4" s="2">
        <f>IFERROR((VLOOKUP($A4,'17-18 First 5'!$B:$L,6,FALSE)-VLOOKUP($A4,'17-18 First 5'!$B:$L,7,FALSE))/VLOOKUP($A4,'17-18 First 5'!$B:$L,2,FALSE),"")</f>
        <v>0.6</v>
      </c>
      <c r="D4" s="2">
        <f>IFERROR((VLOOKUP($A4,'17-18 First 10'!$B:$L,6,FALSE)-VLOOKUP($A4,'17-18 First 10'!$B:$L,7,FALSE))/VLOOKUP($A4,'17-18 First 10'!$B:$L,2,FALSE),"")</f>
        <v>0.8</v>
      </c>
      <c r="E4" s="2">
        <f>IFERROR((VLOOKUP($A4,'17-18 First 15'!$B:$L,6,FALSE)-VLOOKUP($A4,'17-18 First 15'!$B:$L,7,FALSE))/VLOOKUP($A4,'17-18 First 15'!$B:$L,2,FALSE),"")</f>
        <v>1.0666666666666667</v>
      </c>
      <c r="F4" s="2">
        <f>IFERROR((VLOOKUP($A4,'17-18 First 20'!$B:$L,6,FALSE)-VLOOKUP($A4,'17-18 First 20'!$B:$L,7,FALSE))/VLOOKUP($A4,'17-18 First 20'!$B:$L,2,FALSE),"")</f>
        <v>1</v>
      </c>
      <c r="G4" s="3">
        <v>5</v>
      </c>
      <c r="H4" s="3">
        <f t="shared" si="0"/>
        <v>2</v>
      </c>
      <c r="I4" s="3">
        <f t="shared" si="1"/>
        <v>4</v>
      </c>
      <c r="J4" s="3">
        <f t="shared" si="2"/>
        <v>4</v>
      </c>
      <c r="K4" s="3">
        <f t="shared" si="3"/>
        <v>3</v>
      </c>
      <c r="L4" s="3">
        <f t="shared" si="4"/>
        <v>4</v>
      </c>
      <c r="M4" s="3">
        <f t="shared" si="5"/>
        <v>3</v>
      </c>
      <c r="N4" s="3">
        <f t="shared" si="6"/>
        <v>1</v>
      </c>
      <c r="O4" s="3">
        <f t="shared" si="7"/>
        <v>1</v>
      </c>
      <c r="P4" s="3">
        <f t="shared" si="8"/>
        <v>2</v>
      </c>
      <c r="Q4" s="3">
        <f t="shared" si="9"/>
        <v>1</v>
      </c>
      <c r="R4" s="3">
        <f t="shared" si="10"/>
        <v>9</v>
      </c>
      <c r="S4" s="3">
        <f t="shared" si="11"/>
        <v>1</v>
      </c>
      <c r="T4" s="3">
        <f t="shared" si="12"/>
        <v>1</v>
      </c>
      <c r="U4" s="3">
        <f t="shared" si="13"/>
        <v>4</v>
      </c>
      <c r="V4" s="3">
        <f t="shared" si="14"/>
        <v>1</v>
      </c>
      <c r="X4">
        <v>15</v>
      </c>
      <c r="Y4" s="4">
        <f>AVERAGE(P$2:P$21)</f>
        <v>2.85</v>
      </c>
      <c r="Z4" s="4">
        <f>SQRT(AVERAGE(U$2:U$21))</f>
        <v>3.7749172176353749</v>
      </c>
      <c r="AA4" s="4">
        <f>AVERAGE($M$2:$M$21)</f>
        <v>3.4705882352941178</v>
      </c>
      <c r="AB4" s="4">
        <f>SQRT(AVERAGE($R$2:$R$21))</f>
        <v>4.6336366101901127</v>
      </c>
    </row>
    <row r="5" spans="1:28" x14ac:dyDescent="0.25">
      <c r="A5" t="s">
        <v>30</v>
      </c>
      <c r="B5" s="2">
        <f>IFERROR((VLOOKUP($A5,'16-17'!$B:$L,6,FALSE)-VLOOKUP($A5,'16-17'!$B:$L,7,FALSE))/VLOOKUP($A5,'16-17'!$B:$L,2,FALSE),"")</f>
        <v>0.94736842105263153</v>
      </c>
      <c r="C5" s="2">
        <f>IFERROR((VLOOKUP($A5,'17-18 First 5'!$B:$L,6,FALSE)-VLOOKUP($A5,'17-18 First 5'!$B:$L,7,FALSE))/VLOOKUP($A5,'17-18 First 5'!$B:$L,2,FALSE),"")</f>
        <v>0</v>
      </c>
      <c r="D5" s="2">
        <f>IFERROR((VLOOKUP($A5,'17-18 First 10'!$B:$L,6,FALSE)-VLOOKUP($A5,'17-18 First 10'!$B:$L,7,FALSE))/VLOOKUP($A5,'17-18 First 10'!$B:$L,2,FALSE),"")</f>
        <v>0.1</v>
      </c>
      <c r="E5" s="2">
        <f>IFERROR((VLOOKUP($A5,'17-18 First 15'!$B:$L,6,FALSE)-VLOOKUP($A5,'17-18 First 15'!$B:$L,7,FALSE))/VLOOKUP($A5,'17-18 First 15'!$B:$L,2,FALSE),"")</f>
        <v>0.93333333333333335</v>
      </c>
      <c r="F5" s="2">
        <f>IFERROR((VLOOKUP($A5,'17-18 First 20'!$B:$L,6,FALSE)-VLOOKUP($A5,'17-18 First 20'!$B:$L,7,FALSE))/VLOOKUP($A5,'17-18 First 20'!$B:$L,2,FALSE),"")</f>
        <v>1.1499999999999999</v>
      </c>
      <c r="G5" s="3">
        <v>4</v>
      </c>
      <c r="H5" s="3">
        <f t="shared" si="0"/>
        <v>4</v>
      </c>
      <c r="I5" s="3">
        <f t="shared" si="1"/>
        <v>8</v>
      </c>
      <c r="J5" s="3">
        <f t="shared" si="2"/>
        <v>6</v>
      </c>
      <c r="K5" s="3">
        <f t="shared" si="3"/>
        <v>4</v>
      </c>
      <c r="L5" s="3">
        <f t="shared" si="4"/>
        <v>3</v>
      </c>
      <c r="M5" s="3">
        <f t="shared" si="5"/>
        <v>0</v>
      </c>
      <c r="N5" s="3">
        <f t="shared" si="6"/>
        <v>4</v>
      </c>
      <c r="O5" s="3">
        <f t="shared" si="7"/>
        <v>2</v>
      </c>
      <c r="P5" s="3">
        <f t="shared" si="8"/>
        <v>0</v>
      </c>
      <c r="Q5" s="3">
        <f t="shared" si="9"/>
        <v>1</v>
      </c>
      <c r="R5" s="3">
        <f t="shared" si="10"/>
        <v>0</v>
      </c>
      <c r="S5" s="3">
        <f t="shared" si="11"/>
        <v>16</v>
      </c>
      <c r="T5" s="3">
        <f t="shared" si="12"/>
        <v>4</v>
      </c>
      <c r="U5" s="3">
        <f t="shared" si="13"/>
        <v>0</v>
      </c>
      <c r="V5" s="3">
        <f t="shared" si="14"/>
        <v>1</v>
      </c>
      <c r="X5">
        <v>20</v>
      </c>
      <c r="Y5" s="4">
        <f>AVERAGE(Q$2:Q$21)</f>
        <v>2.2000000000000002</v>
      </c>
      <c r="Z5" s="4">
        <f>SQRT(AVERAGE(V$2:V$21))</f>
        <v>3.0659419433511785</v>
      </c>
      <c r="AA5" s="4">
        <f>AVERAGE($M$2:$M$21)</f>
        <v>3.4705882352941178</v>
      </c>
      <c r="AB5" s="4">
        <f>SQRT(AVERAGE($R$2:$R$21))</f>
        <v>4.6336366101901127</v>
      </c>
    </row>
    <row r="6" spans="1:28" x14ac:dyDescent="0.25">
      <c r="A6" t="s">
        <v>31</v>
      </c>
      <c r="B6" s="2">
        <f>IFERROR((VLOOKUP($A6,'16-17'!$B:$L,6,FALSE)-VLOOKUP($A6,'16-17'!$B:$L,7,FALSE))/VLOOKUP($A6,'16-17'!$B:$L,2,FALSE),"")</f>
        <v>1.5789473684210527</v>
      </c>
      <c r="C6" s="2">
        <f>IFERROR((VLOOKUP($A6,'17-18 First 5'!$B:$L,6,FALSE)-VLOOKUP($A6,'17-18 First 5'!$B:$L,7,FALSE))/VLOOKUP($A6,'17-18 First 5'!$B:$L,2,FALSE),"")</f>
        <v>0.8</v>
      </c>
      <c r="D6" s="2">
        <f>IFERROR((VLOOKUP($A6,'17-18 First 10'!$B:$L,6,FALSE)-VLOOKUP($A6,'17-18 First 10'!$B:$L,7,FALSE))/VLOOKUP($A6,'17-18 First 10'!$B:$L,2,FALSE),"")</f>
        <v>1.2</v>
      </c>
      <c r="E6" s="2">
        <f>IFERROR((VLOOKUP($A6,'17-18 First 15'!$B:$L,6,FALSE)-VLOOKUP($A6,'17-18 First 15'!$B:$L,7,FALSE))/VLOOKUP($A6,'17-18 First 15'!$B:$L,2,FALSE),"")</f>
        <v>0.66666666666666663</v>
      </c>
      <c r="F6" s="2">
        <f>IFERROR((VLOOKUP($A6,'17-18 First 20'!$B:$L,6,FALSE)-VLOOKUP($A6,'17-18 First 20'!$B:$L,7,FALSE))/VLOOKUP($A6,'17-18 First 20'!$B:$L,2,FALSE),"")</f>
        <v>0.95</v>
      </c>
      <c r="G6" s="3">
        <v>3</v>
      </c>
      <c r="H6" s="3">
        <f t="shared" si="0"/>
        <v>1</v>
      </c>
      <c r="I6" s="3">
        <f t="shared" si="1"/>
        <v>3</v>
      </c>
      <c r="J6" s="3">
        <f t="shared" si="2"/>
        <v>3</v>
      </c>
      <c r="K6" s="3">
        <f t="shared" si="3"/>
        <v>5</v>
      </c>
      <c r="L6" s="3">
        <f t="shared" si="4"/>
        <v>5</v>
      </c>
      <c r="M6" s="3">
        <f t="shared" si="5"/>
        <v>2</v>
      </c>
      <c r="N6" s="3">
        <f t="shared" si="6"/>
        <v>0</v>
      </c>
      <c r="O6" s="3">
        <f t="shared" si="7"/>
        <v>0</v>
      </c>
      <c r="P6" s="3">
        <f t="shared" si="8"/>
        <v>2</v>
      </c>
      <c r="Q6" s="3">
        <f t="shared" si="9"/>
        <v>2</v>
      </c>
      <c r="R6" s="3">
        <f t="shared" si="10"/>
        <v>4</v>
      </c>
      <c r="S6" s="3">
        <f t="shared" si="11"/>
        <v>0</v>
      </c>
      <c r="T6" s="3">
        <f t="shared" si="12"/>
        <v>0</v>
      </c>
      <c r="U6" s="3">
        <f t="shared" si="13"/>
        <v>4</v>
      </c>
      <c r="V6" s="3">
        <f t="shared" si="14"/>
        <v>4</v>
      </c>
    </row>
    <row r="7" spans="1:28" x14ac:dyDescent="0.25">
      <c r="A7" t="s">
        <v>32</v>
      </c>
      <c r="B7" s="2">
        <f>IFERROR((VLOOKUP($A7,'16-17'!$B:$L,6,FALSE)-VLOOKUP($A7,'16-17'!$B:$L,7,FALSE))/VLOOKUP($A7,'16-17'!$B:$L,2,FALSE),"")</f>
        <v>0.86842105263157898</v>
      </c>
      <c r="C7" s="2">
        <f>IFERROR((VLOOKUP($A7,'17-18 First 5'!$B:$L,6,FALSE)-VLOOKUP($A7,'17-18 First 5'!$B:$L,7,FALSE))/VLOOKUP($A7,'17-18 First 5'!$B:$L,2,FALSE),"")</f>
        <v>-0.2</v>
      </c>
      <c r="D7" s="2">
        <f>IFERROR((VLOOKUP($A7,'17-18 First 10'!$B:$L,6,FALSE)-VLOOKUP($A7,'17-18 First 10'!$B:$L,7,FALSE))/VLOOKUP($A7,'17-18 First 10'!$B:$L,2,FALSE),"")</f>
        <v>0.6</v>
      </c>
      <c r="E7" s="2">
        <f>IFERROR((VLOOKUP($A7,'17-18 First 15'!$B:$L,6,FALSE)-VLOOKUP($A7,'17-18 First 15'!$B:$L,7,FALSE))/VLOOKUP($A7,'17-18 First 15'!$B:$L,2,FALSE),"")</f>
        <v>0.66666666666666663</v>
      </c>
      <c r="F7" s="2">
        <f>IFERROR((VLOOKUP($A7,'17-18 First 20'!$B:$L,6,FALSE)-VLOOKUP($A7,'17-18 First 20'!$B:$L,7,FALSE))/VLOOKUP($A7,'17-18 First 20'!$B:$L,2,FALSE),"")</f>
        <v>0.6</v>
      </c>
      <c r="G7" s="3">
        <v>6</v>
      </c>
      <c r="H7" s="3">
        <f t="shared" si="0"/>
        <v>5</v>
      </c>
      <c r="I7" s="3">
        <f t="shared" si="1"/>
        <v>11</v>
      </c>
      <c r="J7" s="3">
        <f t="shared" si="2"/>
        <v>5</v>
      </c>
      <c r="K7" s="3">
        <f t="shared" si="3"/>
        <v>5</v>
      </c>
      <c r="L7" s="3">
        <f t="shared" si="4"/>
        <v>6</v>
      </c>
      <c r="M7" s="3">
        <f t="shared" si="5"/>
        <v>1</v>
      </c>
      <c r="N7" s="3">
        <f t="shared" si="6"/>
        <v>5</v>
      </c>
      <c r="O7" s="3">
        <f t="shared" si="7"/>
        <v>1</v>
      </c>
      <c r="P7" s="3">
        <f t="shared" si="8"/>
        <v>1</v>
      </c>
      <c r="Q7" s="3">
        <f t="shared" si="9"/>
        <v>0</v>
      </c>
      <c r="R7" s="3">
        <f t="shared" si="10"/>
        <v>1</v>
      </c>
      <c r="S7" s="3">
        <f t="shared" si="11"/>
        <v>25</v>
      </c>
      <c r="T7" s="3">
        <f t="shared" si="12"/>
        <v>1</v>
      </c>
      <c r="U7" s="3">
        <f t="shared" si="13"/>
        <v>1</v>
      </c>
      <c r="V7" s="3">
        <f t="shared" si="14"/>
        <v>0</v>
      </c>
    </row>
    <row r="8" spans="1:28" x14ac:dyDescent="0.25">
      <c r="A8" t="s">
        <v>33</v>
      </c>
      <c r="B8" s="2">
        <f>IFERROR((VLOOKUP($A8,'16-17'!$B:$L,6,FALSE)-VLOOKUP($A8,'16-17'!$B:$L,7,FALSE))/VLOOKUP($A8,'16-17'!$B:$L,2,FALSE),"")</f>
        <v>-0.42105263157894735</v>
      </c>
      <c r="C8" s="2">
        <f>IFERROR((VLOOKUP($A8,'17-18 First 5'!$B:$L,6,FALSE)-VLOOKUP($A8,'17-18 First 5'!$B:$L,7,FALSE))/VLOOKUP($A8,'17-18 First 5'!$B:$L,2,FALSE),"")</f>
        <v>0.2</v>
      </c>
      <c r="D8" s="2">
        <f>IFERROR((VLOOKUP($A8,'17-18 First 10'!$B:$L,6,FALSE)-VLOOKUP($A8,'17-18 First 10'!$B:$L,7,FALSE))/VLOOKUP($A8,'17-18 First 10'!$B:$L,2,FALSE),"")</f>
        <v>0</v>
      </c>
      <c r="E8" s="2">
        <f>IFERROR((VLOOKUP($A8,'17-18 First 15'!$B:$L,6,FALSE)-VLOOKUP($A8,'17-18 First 15'!$B:$L,7,FALSE))/VLOOKUP($A8,'17-18 First 15'!$B:$L,2,FALSE),"")</f>
        <v>0.13333333333333333</v>
      </c>
      <c r="F8" s="2">
        <f>IFERROR((VLOOKUP($A8,'17-18 First 20'!$B:$L,6,FALSE)-VLOOKUP($A8,'17-18 First 20'!$B:$L,7,FALSE))/VLOOKUP($A8,'17-18 First 20'!$B:$L,2,FALSE),"")</f>
        <v>0.05</v>
      </c>
      <c r="G8" s="3">
        <v>7</v>
      </c>
      <c r="H8" s="3">
        <f t="shared" si="0"/>
        <v>14</v>
      </c>
      <c r="I8" s="3">
        <f t="shared" si="1"/>
        <v>7</v>
      </c>
      <c r="J8" s="3">
        <f t="shared" si="2"/>
        <v>8</v>
      </c>
      <c r="K8" s="3">
        <f t="shared" si="3"/>
        <v>7</v>
      </c>
      <c r="L8" s="3">
        <f t="shared" si="4"/>
        <v>7</v>
      </c>
      <c r="M8" s="3">
        <f t="shared" si="5"/>
        <v>7</v>
      </c>
      <c r="N8" s="3">
        <f t="shared" si="6"/>
        <v>0</v>
      </c>
      <c r="O8" s="3">
        <f t="shared" si="7"/>
        <v>1</v>
      </c>
      <c r="P8" s="3">
        <f t="shared" si="8"/>
        <v>0</v>
      </c>
      <c r="Q8" s="3">
        <f t="shared" si="9"/>
        <v>0</v>
      </c>
      <c r="R8" s="3">
        <f t="shared" si="10"/>
        <v>49</v>
      </c>
      <c r="S8" s="3">
        <f t="shared" si="11"/>
        <v>0</v>
      </c>
      <c r="T8" s="3">
        <f t="shared" si="12"/>
        <v>1</v>
      </c>
      <c r="U8" s="3">
        <f t="shared" si="13"/>
        <v>0</v>
      </c>
      <c r="V8" s="3">
        <f t="shared" si="14"/>
        <v>0</v>
      </c>
    </row>
    <row r="9" spans="1:28" x14ac:dyDescent="0.25">
      <c r="A9" t="s">
        <v>34</v>
      </c>
      <c r="B9" s="2">
        <f>IFERROR((VLOOKUP($A9,'16-17'!$B:$L,6,FALSE)-VLOOKUP($A9,'16-17'!$B:$L,7,FALSE))/VLOOKUP($A9,'16-17'!$B:$L,2,FALSE),"")</f>
        <v>-0.39473684210526316</v>
      </c>
      <c r="C9" s="2">
        <f>IFERROR((VLOOKUP($A9,'17-18 First 5'!$B:$L,6,FALSE)-VLOOKUP($A9,'17-18 First 5'!$B:$L,7,FALSE))/VLOOKUP($A9,'17-18 First 5'!$B:$L,2,FALSE),"")</f>
        <v>-0.4</v>
      </c>
      <c r="D9" s="2">
        <f>IFERROR((VLOOKUP($A9,'17-18 First 10'!$B:$L,6,FALSE)-VLOOKUP($A9,'17-18 First 10'!$B:$L,7,FALSE))/VLOOKUP($A9,'17-18 First 10'!$B:$L,2,FALSE),"")</f>
        <v>0</v>
      </c>
      <c r="E9" s="2">
        <f>IFERROR((VLOOKUP($A9,'17-18 First 15'!$B:$L,6,FALSE)-VLOOKUP($A9,'17-18 First 15'!$B:$L,7,FALSE))/VLOOKUP($A9,'17-18 First 15'!$B:$L,2,FALSE),"")</f>
        <v>0</v>
      </c>
      <c r="F9" s="2">
        <f>IFERROR((VLOOKUP($A9,'17-18 First 20'!$B:$L,6,FALSE)-VLOOKUP($A9,'17-18 First 20'!$B:$L,7,FALSE))/VLOOKUP($A9,'17-18 First 20'!$B:$L,2,FALSE),"")</f>
        <v>0</v>
      </c>
      <c r="G9" s="3">
        <v>9</v>
      </c>
      <c r="H9" s="3">
        <f t="shared" si="0"/>
        <v>12</v>
      </c>
      <c r="I9" s="3">
        <f t="shared" si="1"/>
        <v>13</v>
      </c>
      <c r="J9" s="3">
        <f t="shared" si="2"/>
        <v>8</v>
      </c>
      <c r="K9" s="3">
        <f t="shared" si="3"/>
        <v>8</v>
      </c>
      <c r="L9" s="3">
        <f t="shared" si="4"/>
        <v>8</v>
      </c>
      <c r="M9" s="3">
        <f t="shared" si="5"/>
        <v>3</v>
      </c>
      <c r="N9" s="3">
        <f t="shared" si="6"/>
        <v>4</v>
      </c>
      <c r="O9" s="3">
        <f t="shared" si="7"/>
        <v>1</v>
      </c>
      <c r="P9" s="3">
        <f t="shared" si="8"/>
        <v>1</v>
      </c>
      <c r="Q9" s="3">
        <f t="shared" si="9"/>
        <v>1</v>
      </c>
      <c r="R9" s="3">
        <f t="shared" si="10"/>
        <v>9</v>
      </c>
      <c r="S9" s="3">
        <f t="shared" si="11"/>
        <v>16</v>
      </c>
      <c r="T9" s="3">
        <f t="shared" si="12"/>
        <v>1</v>
      </c>
      <c r="U9" s="3">
        <f t="shared" si="13"/>
        <v>1</v>
      </c>
      <c r="V9" s="3">
        <f t="shared" si="14"/>
        <v>1</v>
      </c>
    </row>
    <row r="10" spans="1:28" x14ac:dyDescent="0.25">
      <c r="A10" t="s">
        <v>35</v>
      </c>
      <c r="B10" s="2">
        <f>IFERROR((VLOOKUP($A10,'16-17'!$B:$L,6,FALSE)-VLOOKUP($A10,'16-17'!$B:$L,7,FALSE))/VLOOKUP($A10,'16-17'!$B:$L,2,FALSE),"")</f>
        <v>0.47368421052631576</v>
      </c>
      <c r="C10" s="2">
        <f>IFERROR((VLOOKUP($A10,'17-18 First 5'!$B:$L,6,FALSE)-VLOOKUP($A10,'17-18 First 5'!$B:$L,7,FALSE))/VLOOKUP($A10,'17-18 First 5'!$B:$L,2,FALSE),"")</f>
        <v>-1.6</v>
      </c>
      <c r="D10" s="2">
        <f>IFERROR((VLOOKUP($A10,'17-18 First 10'!$B:$L,6,FALSE)-VLOOKUP($A10,'17-18 First 10'!$B:$L,7,FALSE))/VLOOKUP($A10,'17-18 First 10'!$B:$L,2,FALSE),"")</f>
        <v>-1.3</v>
      </c>
      <c r="E10" s="2">
        <f>IFERROR((VLOOKUP($A10,'17-18 First 15'!$B:$L,6,FALSE)-VLOOKUP($A10,'17-18 First 15'!$B:$L,7,FALSE))/VLOOKUP($A10,'17-18 First 15'!$B:$L,2,FALSE),"")</f>
        <v>-0.6</v>
      </c>
      <c r="F10" s="2">
        <f>IFERROR((VLOOKUP($A10,'17-18 First 20'!$B:$L,6,FALSE)-VLOOKUP($A10,'17-18 First 20'!$B:$L,7,FALSE))/VLOOKUP($A10,'17-18 First 20'!$B:$L,2,FALSE),"")</f>
        <v>-0.3</v>
      </c>
      <c r="G10" s="3">
        <v>8</v>
      </c>
      <c r="H10" s="3">
        <f t="shared" si="0"/>
        <v>7</v>
      </c>
      <c r="I10" s="3">
        <f t="shared" si="1"/>
        <v>19</v>
      </c>
      <c r="J10" s="3">
        <f t="shared" si="2"/>
        <v>19</v>
      </c>
      <c r="K10" s="3">
        <f t="shared" si="3"/>
        <v>14</v>
      </c>
      <c r="L10" s="3">
        <f t="shared" si="4"/>
        <v>9</v>
      </c>
      <c r="M10" s="3">
        <f t="shared" si="5"/>
        <v>1</v>
      </c>
      <c r="N10" s="3">
        <f t="shared" si="6"/>
        <v>11</v>
      </c>
      <c r="O10" s="3">
        <f t="shared" si="7"/>
        <v>11</v>
      </c>
      <c r="P10" s="3">
        <f t="shared" si="8"/>
        <v>6</v>
      </c>
      <c r="Q10" s="3">
        <f t="shared" si="9"/>
        <v>1</v>
      </c>
      <c r="R10" s="3">
        <f t="shared" si="10"/>
        <v>1</v>
      </c>
      <c r="S10" s="3">
        <f t="shared" si="11"/>
        <v>121</v>
      </c>
      <c r="T10" s="3">
        <f t="shared" si="12"/>
        <v>121</v>
      </c>
      <c r="U10" s="3">
        <f t="shared" si="13"/>
        <v>36</v>
      </c>
      <c r="V10" s="3">
        <f t="shared" si="14"/>
        <v>1</v>
      </c>
    </row>
    <row r="11" spans="1:28" x14ac:dyDescent="0.25">
      <c r="A11" t="s">
        <v>36</v>
      </c>
      <c r="B11" s="2">
        <f>IFERROR((VLOOKUP($A11,'16-17'!$B:$L,6,FALSE)-VLOOKUP($A11,'16-17'!$B:$L,7,FALSE))/VLOOKUP($A11,'16-17'!$B:$L,2,FALSE),"")</f>
        <v>-0.73684210526315785</v>
      </c>
      <c r="C11" s="2">
        <f>IFERROR((VLOOKUP($A11,'17-18 First 5'!$B:$L,6,FALSE)-VLOOKUP($A11,'17-18 First 5'!$B:$L,7,FALSE))/VLOOKUP($A11,'17-18 First 5'!$B:$L,2,FALSE),"")</f>
        <v>-0.4</v>
      </c>
      <c r="D11" s="2">
        <f>IFERROR((VLOOKUP($A11,'17-18 First 10'!$B:$L,6,FALSE)-VLOOKUP($A11,'17-18 First 10'!$B:$L,7,FALSE))/VLOOKUP($A11,'17-18 First 10'!$B:$L,2,FALSE),"")</f>
        <v>-0.3</v>
      </c>
      <c r="E11" s="2">
        <f>IFERROR((VLOOKUP($A11,'17-18 First 15'!$B:$L,6,FALSE)-VLOOKUP($A11,'17-18 First 15'!$B:$L,7,FALSE))/VLOOKUP($A11,'17-18 First 15'!$B:$L,2,FALSE),"")</f>
        <v>-6.6666666666666666E-2</v>
      </c>
      <c r="F11" s="2">
        <f>IFERROR((VLOOKUP($A11,'17-18 First 20'!$B:$L,6,FALSE)-VLOOKUP($A11,'17-18 First 20'!$B:$L,7,FALSE))/VLOOKUP($A11,'17-18 First 20'!$B:$L,2,FALSE),"")</f>
        <v>-0.3</v>
      </c>
      <c r="G11" s="3">
        <v>14</v>
      </c>
      <c r="H11" s="3">
        <f t="shared" si="0"/>
        <v>17</v>
      </c>
      <c r="I11" s="3">
        <f t="shared" si="1"/>
        <v>13</v>
      </c>
      <c r="J11" s="3">
        <f t="shared" si="2"/>
        <v>12</v>
      </c>
      <c r="K11" s="3">
        <f t="shared" si="3"/>
        <v>9</v>
      </c>
      <c r="L11" s="3">
        <f t="shared" si="4"/>
        <v>9</v>
      </c>
      <c r="M11" s="3">
        <f t="shared" si="5"/>
        <v>3</v>
      </c>
      <c r="N11" s="3">
        <f t="shared" si="6"/>
        <v>1</v>
      </c>
      <c r="O11" s="3">
        <f t="shared" si="7"/>
        <v>2</v>
      </c>
      <c r="P11" s="3">
        <f t="shared" si="8"/>
        <v>5</v>
      </c>
      <c r="Q11" s="3">
        <f t="shared" si="9"/>
        <v>5</v>
      </c>
      <c r="R11" s="3">
        <f t="shared" si="10"/>
        <v>9</v>
      </c>
      <c r="S11" s="3">
        <f t="shared" si="11"/>
        <v>1</v>
      </c>
      <c r="T11" s="3">
        <f t="shared" si="12"/>
        <v>4</v>
      </c>
      <c r="U11" s="3">
        <f t="shared" si="13"/>
        <v>25</v>
      </c>
      <c r="V11" s="3">
        <f t="shared" si="14"/>
        <v>25</v>
      </c>
    </row>
    <row r="12" spans="1:28" x14ac:dyDescent="0.25">
      <c r="A12" s="5" t="s">
        <v>37</v>
      </c>
      <c r="B12" s="6" t="str">
        <f>IFERROR((VLOOKUP($A12,'16-17'!$B:$L,6,FALSE)-VLOOKUP($A12,'16-17'!$B:$L,7,FALSE))/VLOOKUP($A12,'16-17'!$B:$L,2,FALSE),"")</f>
        <v/>
      </c>
      <c r="C12" s="6">
        <f>IFERROR((VLOOKUP($A12,'17-18 First 5'!$B:$L,6,FALSE)-VLOOKUP($A12,'17-18 First 5'!$B:$L,7,FALSE))/VLOOKUP($A12,'17-18 First 5'!$B:$L,2,FALSE),"")</f>
        <v>0.4</v>
      </c>
      <c r="D12" s="6">
        <f>IFERROR((VLOOKUP($A12,'17-18 First 10'!$B:$L,6,FALSE)-VLOOKUP($A12,'17-18 First 10'!$B:$L,7,FALSE))/VLOOKUP($A12,'17-18 First 10'!$B:$L,2,FALSE),"")</f>
        <v>-0.6</v>
      </c>
      <c r="E12" s="6">
        <f>IFERROR((VLOOKUP($A12,'17-18 First 15'!$B:$L,6,FALSE)-VLOOKUP($A12,'17-18 First 15'!$B:$L,7,FALSE))/VLOOKUP($A12,'17-18 First 15'!$B:$L,2,FALSE),"")</f>
        <v>-1.1333333333333333</v>
      </c>
      <c r="F12" s="6">
        <f>IFERROR((VLOOKUP($A12,'17-18 First 20'!$B:$L,6,FALSE)-VLOOKUP($A12,'17-18 First 20'!$B:$L,7,FALSE))/VLOOKUP($A12,'17-18 First 20'!$B:$L,2,FALSE),"")</f>
        <v>-0.7</v>
      </c>
      <c r="G12" s="3">
        <v>16</v>
      </c>
      <c r="H12" s="3" t="str">
        <f t="shared" si="0"/>
        <v/>
      </c>
      <c r="I12" s="3">
        <f t="shared" si="1"/>
        <v>5</v>
      </c>
      <c r="J12" s="3">
        <f t="shared" si="2"/>
        <v>15</v>
      </c>
      <c r="K12" s="3">
        <f t="shared" si="3"/>
        <v>18</v>
      </c>
      <c r="L12" s="3">
        <f t="shared" si="4"/>
        <v>16</v>
      </c>
      <c r="M12" s="3" t="str">
        <f t="shared" si="5"/>
        <v/>
      </c>
      <c r="N12" s="3">
        <f t="shared" si="6"/>
        <v>11</v>
      </c>
      <c r="O12" s="3">
        <f t="shared" si="7"/>
        <v>1</v>
      </c>
      <c r="P12" s="3">
        <f t="shared" si="8"/>
        <v>2</v>
      </c>
      <c r="Q12" s="3">
        <f t="shared" si="9"/>
        <v>0</v>
      </c>
      <c r="R12" s="3" t="str">
        <f t="shared" si="10"/>
        <v/>
      </c>
      <c r="S12" s="3">
        <f t="shared" si="11"/>
        <v>121</v>
      </c>
      <c r="T12" s="3">
        <f t="shared" si="12"/>
        <v>1</v>
      </c>
      <c r="U12" s="3">
        <f t="shared" si="13"/>
        <v>4</v>
      </c>
      <c r="V12" s="3">
        <f t="shared" si="14"/>
        <v>0</v>
      </c>
    </row>
    <row r="13" spans="1:28" x14ac:dyDescent="0.25">
      <c r="A13" s="5" t="s">
        <v>38</v>
      </c>
      <c r="B13" s="6" t="str">
        <f>IFERROR((VLOOKUP($A13,'16-17'!$B:$L,6,FALSE)-VLOOKUP($A13,'16-17'!$B:$L,7,FALSE))/VLOOKUP($A13,'16-17'!$B:$L,2,FALSE),"")</f>
        <v/>
      </c>
      <c r="C13" s="6">
        <f>IFERROR((VLOOKUP($A13,'17-18 First 5'!$B:$L,6,FALSE)-VLOOKUP($A13,'17-18 First 5'!$B:$L,7,FALSE))/VLOOKUP($A13,'17-18 First 5'!$B:$L,2,FALSE),"")</f>
        <v>-0.6</v>
      </c>
      <c r="D13" s="6">
        <f>IFERROR((VLOOKUP($A13,'17-18 First 10'!$B:$L,6,FALSE)-VLOOKUP($A13,'17-18 First 10'!$B:$L,7,FALSE))/VLOOKUP($A13,'17-18 First 10'!$B:$L,2,FALSE),"")</f>
        <v>-0.1</v>
      </c>
      <c r="E13" s="6">
        <f>IFERROR((VLOOKUP($A13,'17-18 First 15'!$B:$L,6,FALSE)-VLOOKUP($A13,'17-18 First 15'!$B:$L,7,FALSE))/VLOOKUP($A13,'17-18 First 15'!$B:$L,2,FALSE),"")</f>
        <v>-0.33333333333333331</v>
      </c>
      <c r="F13" s="6">
        <f>IFERROR((VLOOKUP($A13,'17-18 First 20'!$B:$L,6,FALSE)-VLOOKUP($A13,'17-18 First 20'!$B:$L,7,FALSE))/VLOOKUP($A13,'17-18 First 20'!$B:$L,2,FALSE),"")</f>
        <v>-0.5</v>
      </c>
      <c r="G13" s="3">
        <v>15</v>
      </c>
      <c r="H13" s="3" t="str">
        <f t="shared" si="0"/>
        <v/>
      </c>
      <c r="I13" s="3">
        <f t="shared" si="1"/>
        <v>15</v>
      </c>
      <c r="J13" s="3">
        <f t="shared" si="2"/>
        <v>10</v>
      </c>
      <c r="K13" s="3">
        <f t="shared" si="3"/>
        <v>12</v>
      </c>
      <c r="L13" s="3">
        <f t="shared" si="4"/>
        <v>11</v>
      </c>
      <c r="M13" s="3" t="str">
        <f t="shared" si="5"/>
        <v/>
      </c>
      <c r="N13" s="3">
        <f t="shared" si="6"/>
        <v>0</v>
      </c>
      <c r="O13" s="3">
        <f t="shared" si="7"/>
        <v>5</v>
      </c>
      <c r="P13" s="3">
        <f t="shared" si="8"/>
        <v>3</v>
      </c>
      <c r="Q13" s="3">
        <f t="shared" si="9"/>
        <v>4</v>
      </c>
      <c r="R13" s="3" t="str">
        <f t="shared" si="10"/>
        <v/>
      </c>
      <c r="S13" s="3">
        <f t="shared" si="11"/>
        <v>0</v>
      </c>
      <c r="T13" s="3">
        <f t="shared" si="12"/>
        <v>25</v>
      </c>
      <c r="U13" s="3">
        <f t="shared" si="13"/>
        <v>9</v>
      </c>
      <c r="V13" s="3">
        <f t="shared" si="14"/>
        <v>16</v>
      </c>
    </row>
    <row r="14" spans="1:28" x14ac:dyDescent="0.25">
      <c r="A14" t="s">
        <v>39</v>
      </c>
      <c r="B14" s="2">
        <f>IFERROR((VLOOKUP($A14,'16-17'!$B:$L,6,FALSE)-VLOOKUP($A14,'16-17'!$B:$L,7,FALSE))/VLOOKUP($A14,'16-17'!$B:$L,2,FALSE),"")</f>
        <v>-0.39473684210526316</v>
      </c>
      <c r="C14" s="2">
        <f>IFERROR((VLOOKUP($A14,'17-18 First 5'!$B:$L,6,FALSE)-VLOOKUP($A14,'17-18 First 5'!$B:$L,7,FALSE))/VLOOKUP($A14,'17-18 First 5'!$B:$L,2,FALSE),"")</f>
        <v>-0.2</v>
      </c>
      <c r="D14" s="2">
        <f>IFERROR((VLOOKUP($A14,'17-18 First 10'!$B:$L,6,FALSE)-VLOOKUP($A14,'17-18 First 10'!$B:$L,7,FALSE))/VLOOKUP($A14,'17-18 First 10'!$B:$L,2,FALSE),"")</f>
        <v>-0.9</v>
      </c>
      <c r="E14" s="2">
        <f>IFERROR((VLOOKUP($A14,'17-18 First 15'!$B:$L,6,FALSE)-VLOOKUP($A14,'17-18 First 15'!$B:$L,7,FALSE))/VLOOKUP($A14,'17-18 First 15'!$B:$L,2,FALSE),"")</f>
        <v>-0.8</v>
      </c>
      <c r="F14" s="2">
        <f>IFERROR((VLOOKUP($A14,'17-18 First 20'!$B:$L,6,FALSE)-VLOOKUP($A14,'17-18 First 20'!$B:$L,7,FALSE))/VLOOKUP($A14,'17-18 First 20'!$B:$L,2,FALSE),"")</f>
        <v>-0.9</v>
      </c>
      <c r="G14" s="3">
        <v>19</v>
      </c>
      <c r="H14" s="3">
        <f t="shared" si="0"/>
        <v>12</v>
      </c>
      <c r="I14" s="3">
        <f t="shared" si="1"/>
        <v>11</v>
      </c>
      <c r="J14" s="3">
        <f t="shared" si="2"/>
        <v>17</v>
      </c>
      <c r="K14" s="3">
        <f t="shared" si="3"/>
        <v>17</v>
      </c>
      <c r="L14" s="3">
        <f t="shared" si="4"/>
        <v>19</v>
      </c>
      <c r="M14" s="3">
        <f t="shared" si="5"/>
        <v>7</v>
      </c>
      <c r="N14" s="3">
        <f t="shared" si="6"/>
        <v>8</v>
      </c>
      <c r="O14" s="3">
        <f t="shared" si="7"/>
        <v>2</v>
      </c>
      <c r="P14" s="3">
        <f t="shared" si="8"/>
        <v>2</v>
      </c>
      <c r="Q14" s="3">
        <f t="shared" si="9"/>
        <v>0</v>
      </c>
      <c r="R14" s="3">
        <f t="shared" si="10"/>
        <v>49</v>
      </c>
      <c r="S14" s="3">
        <f t="shared" si="11"/>
        <v>64</v>
      </c>
      <c r="T14" s="3">
        <f t="shared" si="12"/>
        <v>4</v>
      </c>
      <c r="U14" s="3">
        <f t="shared" si="13"/>
        <v>4</v>
      </c>
      <c r="V14" s="3">
        <f t="shared" si="14"/>
        <v>0</v>
      </c>
    </row>
    <row r="15" spans="1:28" x14ac:dyDescent="0.25">
      <c r="A15" t="s">
        <v>40</v>
      </c>
      <c r="B15" s="2">
        <f>IFERROR((VLOOKUP($A15,'16-17'!$B:$L,6,FALSE)-VLOOKUP($A15,'16-17'!$B:$L,7,FALSE))/VLOOKUP($A15,'16-17'!$B:$L,2,FALSE),"")</f>
        <v>-0.18421052631578946</v>
      </c>
      <c r="C15" s="2">
        <f>IFERROR((VLOOKUP($A15,'17-18 First 5'!$B:$L,6,FALSE)-VLOOKUP($A15,'17-18 First 5'!$B:$L,7,FALSE))/VLOOKUP($A15,'17-18 First 5'!$B:$L,2,FALSE),"")</f>
        <v>0</v>
      </c>
      <c r="D15" s="2">
        <f>IFERROR((VLOOKUP($A15,'17-18 First 10'!$B:$L,6,FALSE)-VLOOKUP($A15,'17-18 First 10'!$B:$L,7,FALSE))/VLOOKUP($A15,'17-18 First 10'!$B:$L,2,FALSE),"")</f>
        <v>-0.1</v>
      </c>
      <c r="E15" s="2">
        <f>IFERROR((VLOOKUP($A15,'17-18 First 15'!$B:$L,6,FALSE)-VLOOKUP($A15,'17-18 First 15'!$B:$L,7,FALSE))/VLOOKUP($A15,'17-18 First 15'!$B:$L,2,FALSE),"")</f>
        <v>-0.2</v>
      </c>
      <c r="F15" s="2">
        <f>IFERROR((VLOOKUP($A15,'17-18 First 20'!$B:$L,6,FALSE)-VLOOKUP($A15,'17-18 First 20'!$B:$L,7,FALSE))/VLOOKUP($A15,'17-18 First 20'!$B:$L,2,FALSE),"")</f>
        <v>-0.5</v>
      </c>
      <c r="G15" s="3">
        <v>17</v>
      </c>
      <c r="H15" s="3">
        <f t="shared" si="0"/>
        <v>8</v>
      </c>
      <c r="I15" s="3">
        <f t="shared" si="1"/>
        <v>8</v>
      </c>
      <c r="J15" s="3">
        <f t="shared" si="2"/>
        <v>10</v>
      </c>
      <c r="K15" s="3">
        <f t="shared" si="3"/>
        <v>10</v>
      </c>
      <c r="L15" s="3">
        <f t="shared" si="4"/>
        <v>11</v>
      </c>
      <c r="M15" s="3">
        <f t="shared" si="5"/>
        <v>9</v>
      </c>
      <c r="N15" s="3">
        <f t="shared" si="6"/>
        <v>9</v>
      </c>
      <c r="O15" s="3">
        <f t="shared" si="7"/>
        <v>7</v>
      </c>
      <c r="P15" s="3">
        <f t="shared" si="8"/>
        <v>7</v>
      </c>
      <c r="Q15" s="3">
        <f t="shared" si="9"/>
        <v>6</v>
      </c>
      <c r="R15" s="3">
        <f t="shared" si="10"/>
        <v>81</v>
      </c>
      <c r="S15" s="3">
        <f t="shared" si="11"/>
        <v>81</v>
      </c>
      <c r="T15" s="3">
        <f t="shared" si="12"/>
        <v>49</v>
      </c>
      <c r="U15" s="3">
        <f t="shared" si="13"/>
        <v>49</v>
      </c>
      <c r="V15" s="3">
        <f t="shared" si="14"/>
        <v>36</v>
      </c>
    </row>
    <row r="16" spans="1:28" x14ac:dyDescent="0.25">
      <c r="A16" s="5" t="s">
        <v>41</v>
      </c>
      <c r="B16" s="6" t="str">
        <f>IFERROR((VLOOKUP($A16,'16-17'!$B:$L,6,FALSE)-VLOOKUP($A16,'16-17'!$B:$L,7,FALSE))/VLOOKUP($A16,'16-17'!$B:$L,2,FALSE),"")</f>
        <v/>
      </c>
      <c r="C16" s="6">
        <f>IFERROR((VLOOKUP($A16,'17-18 First 5'!$B:$L,6,FALSE)-VLOOKUP($A16,'17-18 First 5'!$B:$L,7,FALSE))/VLOOKUP($A16,'17-18 First 5'!$B:$L,2,FALSE),"")</f>
        <v>0.4</v>
      </c>
      <c r="D16" s="6">
        <f>IFERROR((VLOOKUP($A16,'17-18 First 10'!$B:$L,6,FALSE)-VLOOKUP($A16,'17-18 First 10'!$B:$L,7,FALSE))/VLOOKUP($A16,'17-18 First 10'!$B:$L,2,FALSE),"")</f>
        <v>0.1</v>
      </c>
      <c r="E16" s="6">
        <f>IFERROR((VLOOKUP($A16,'17-18 First 15'!$B:$L,6,FALSE)-VLOOKUP($A16,'17-18 First 15'!$B:$L,7,FALSE))/VLOOKUP($A16,'17-18 First 15'!$B:$L,2,FALSE),"")</f>
        <v>-0.53333333333333333</v>
      </c>
      <c r="F16" s="6">
        <f>IFERROR((VLOOKUP($A16,'17-18 First 20'!$B:$L,6,FALSE)-VLOOKUP($A16,'17-18 First 20'!$B:$L,7,FALSE))/VLOOKUP($A16,'17-18 First 20'!$B:$L,2,FALSE),"")</f>
        <v>-0.55000000000000004</v>
      </c>
      <c r="G16" s="3">
        <v>10</v>
      </c>
      <c r="H16" s="3" t="str">
        <f t="shared" si="0"/>
        <v/>
      </c>
      <c r="I16" s="3">
        <f t="shared" si="1"/>
        <v>5</v>
      </c>
      <c r="J16" s="3">
        <f t="shared" si="2"/>
        <v>6</v>
      </c>
      <c r="K16" s="3">
        <f t="shared" si="3"/>
        <v>13</v>
      </c>
      <c r="L16" s="3">
        <f t="shared" si="4"/>
        <v>13</v>
      </c>
      <c r="M16" s="3" t="str">
        <f t="shared" si="5"/>
        <v/>
      </c>
      <c r="N16" s="3">
        <f t="shared" si="6"/>
        <v>5</v>
      </c>
      <c r="O16" s="3">
        <f t="shared" si="7"/>
        <v>4</v>
      </c>
      <c r="P16" s="3">
        <f t="shared" si="8"/>
        <v>3</v>
      </c>
      <c r="Q16" s="3">
        <f t="shared" si="9"/>
        <v>3</v>
      </c>
      <c r="R16" s="3" t="str">
        <f t="shared" si="10"/>
        <v/>
      </c>
      <c r="S16" s="3">
        <f t="shared" si="11"/>
        <v>25</v>
      </c>
      <c r="T16" s="3">
        <f t="shared" si="12"/>
        <v>16</v>
      </c>
      <c r="U16" s="3">
        <f t="shared" si="13"/>
        <v>9</v>
      </c>
      <c r="V16" s="3">
        <f t="shared" si="14"/>
        <v>9</v>
      </c>
    </row>
    <row r="17" spans="1:22" x14ac:dyDescent="0.25">
      <c r="A17" t="s">
        <v>42</v>
      </c>
      <c r="B17" s="2">
        <f>IFERROR((VLOOKUP($A17,'16-17'!$B:$L,6,FALSE)-VLOOKUP($A17,'16-17'!$B:$L,7,FALSE))/VLOOKUP($A17,'16-17'!$B:$L,2,FALSE),"")</f>
        <v>-0.34210526315789475</v>
      </c>
      <c r="C17" s="2">
        <f>IFERROR((VLOOKUP($A17,'17-18 First 5'!$B:$L,6,FALSE)-VLOOKUP($A17,'17-18 First 5'!$B:$L,7,FALSE))/VLOOKUP($A17,'17-18 First 5'!$B:$L,2,FALSE),"")</f>
        <v>-1.6</v>
      </c>
      <c r="D17" s="2">
        <f>IFERROR((VLOOKUP($A17,'17-18 First 10'!$B:$L,6,FALSE)-VLOOKUP($A17,'17-18 First 10'!$B:$L,7,FALSE))/VLOOKUP($A17,'17-18 First 10'!$B:$L,2,FALSE),"")</f>
        <v>-1.7</v>
      </c>
      <c r="E17" s="2">
        <f>IFERROR((VLOOKUP($A17,'17-18 First 15'!$B:$L,6,FALSE)-VLOOKUP($A17,'17-18 First 15'!$B:$L,7,FALSE))/VLOOKUP($A17,'17-18 First 15'!$B:$L,2,FALSE),"")</f>
        <v>-1.1333333333333333</v>
      </c>
      <c r="F17" s="2">
        <f>IFERROR((VLOOKUP($A17,'17-18 First 20'!$B:$L,6,FALSE)-VLOOKUP($A17,'17-18 First 20'!$B:$L,7,FALSE))/VLOOKUP($A17,'17-18 First 20'!$B:$L,2,FALSE),"")</f>
        <v>-0.7</v>
      </c>
      <c r="G17" s="3">
        <v>11</v>
      </c>
      <c r="H17" s="3">
        <f t="shared" si="0"/>
        <v>11</v>
      </c>
      <c r="I17" s="3">
        <f t="shared" si="1"/>
        <v>19</v>
      </c>
      <c r="J17" s="3">
        <f t="shared" si="2"/>
        <v>20</v>
      </c>
      <c r="K17" s="3">
        <f t="shared" si="3"/>
        <v>18</v>
      </c>
      <c r="L17" s="3">
        <f t="shared" si="4"/>
        <v>16</v>
      </c>
      <c r="M17" s="3">
        <f t="shared" si="5"/>
        <v>0</v>
      </c>
      <c r="N17" s="3">
        <f t="shared" si="6"/>
        <v>8</v>
      </c>
      <c r="O17" s="3">
        <f t="shared" si="7"/>
        <v>9</v>
      </c>
      <c r="P17" s="3">
        <f t="shared" si="8"/>
        <v>7</v>
      </c>
      <c r="Q17" s="3">
        <f t="shared" si="9"/>
        <v>5</v>
      </c>
      <c r="R17" s="3">
        <f t="shared" si="10"/>
        <v>0</v>
      </c>
      <c r="S17" s="3">
        <f t="shared" si="11"/>
        <v>64</v>
      </c>
      <c r="T17" s="3">
        <f t="shared" si="12"/>
        <v>81</v>
      </c>
      <c r="U17" s="3">
        <f t="shared" si="13"/>
        <v>49</v>
      </c>
      <c r="V17" s="3">
        <f t="shared" si="14"/>
        <v>25</v>
      </c>
    </row>
    <row r="18" spans="1:22" x14ac:dyDescent="0.25">
      <c r="A18" t="s">
        <v>43</v>
      </c>
      <c r="B18" s="2">
        <f>IFERROR((VLOOKUP($A18,'16-17'!$B:$L,6,FALSE)-VLOOKUP($A18,'16-17'!$B:$L,7,FALSE))/VLOOKUP($A18,'16-17'!$B:$L,2,FALSE),"")</f>
        <v>-0.44736842105263158</v>
      </c>
      <c r="C18" s="2">
        <f>IFERROR((VLOOKUP($A18,'17-18 First 5'!$B:$L,6,FALSE)-VLOOKUP($A18,'17-18 First 5'!$B:$L,7,FALSE))/VLOOKUP($A18,'17-18 First 5'!$B:$L,2,FALSE),"")</f>
        <v>-1.2</v>
      </c>
      <c r="D18" s="2">
        <f>IFERROR((VLOOKUP($A18,'17-18 First 10'!$B:$L,6,FALSE)-VLOOKUP($A18,'17-18 First 10'!$B:$L,7,FALSE))/VLOOKUP($A18,'17-18 First 10'!$B:$L,2,FALSE),"")</f>
        <v>-0.9</v>
      </c>
      <c r="E18" s="2">
        <f>IFERROR((VLOOKUP($A18,'17-18 First 15'!$B:$L,6,FALSE)-VLOOKUP($A18,'17-18 First 15'!$B:$L,7,FALSE))/VLOOKUP($A18,'17-18 First 15'!$B:$L,2,FALSE),"")</f>
        <v>-1.2666666666666666</v>
      </c>
      <c r="F18" s="2">
        <f>IFERROR((VLOOKUP($A18,'17-18 First 20'!$B:$L,6,FALSE)-VLOOKUP($A18,'17-18 First 20'!$B:$L,7,FALSE))/VLOOKUP($A18,'17-18 First 20'!$B:$L,2,FALSE),"")</f>
        <v>-0.8</v>
      </c>
      <c r="G18" s="3">
        <v>13</v>
      </c>
      <c r="H18" s="3">
        <f t="shared" si="0"/>
        <v>15</v>
      </c>
      <c r="I18" s="3">
        <f t="shared" si="1"/>
        <v>17</v>
      </c>
      <c r="J18" s="3">
        <f t="shared" si="2"/>
        <v>17</v>
      </c>
      <c r="K18" s="3">
        <f t="shared" si="3"/>
        <v>20</v>
      </c>
      <c r="L18" s="3">
        <f t="shared" si="4"/>
        <v>18</v>
      </c>
      <c r="M18" s="3">
        <f t="shared" si="5"/>
        <v>2</v>
      </c>
      <c r="N18" s="3">
        <f t="shared" si="6"/>
        <v>4</v>
      </c>
      <c r="O18" s="3">
        <f t="shared" si="7"/>
        <v>4</v>
      </c>
      <c r="P18" s="3">
        <f t="shared" si="8"/>
        <v>7</v>
      </c>
      <c r="Q18" s="3">
        <f t="shared" si="9"/>
        <v>5</v>
      </c>
      <c r="R18" s="3">
        <f t="shared" si="10"/>
        <v>4</v>
      </c>
      <c r="S18" s="3">
        <f t="shared" si="11"/>
        <v>16</v>
      </c>
      <c r="T18" s="3">
        <f t="shared" si="12"/>
        <v>16</v>
      </c>
      <c r="U18" s="3">
        <f t="shared" si="13"/>
        <v>49</v>
      </c>
      <c r="V18" s="3">
        <f t="shared" si="14"/>
        <v>25</v>
      </c>
    </row>
    <row r="19" spans="1:22" x14ac:dyDescent="0.25">
      <c r="A19" s="7" t="s">
        <v>44</v>
      </c>
      <c r="B19" s="8">
        <f>IFERROR((VLOOKUP($A19,'16-17'!$B:$L,6,FALSE)-VLOOKUP($A19,'16-17'!$B:$L,7,FALSE))/VLOOKUP($A19,'16-17'!$B:$L,2,FALSE),"")</f>
        <v>-0.31578947368421051</v>
      </c>
      <c r="C19" s="8">
        <f>IFERROR((VLOOKUP($A19,'17-18 First 5'!$B:$L,6,FALSE)-VLOOKUP($A19,'17-18 First 5'!$B:$L,7,FALSE))/VLOOKUP($A19,'17-18 First 5'!$B:$L,2,FALSE),"")</f>
        <v>-1.2</v>
      </c>
      <c r="D19" s="8">
        <f>IFERROR((VLOOKUP($A19,'17-18 First 10'!$B:$L,6,FALSE)-VLOOKUP($A19,'17-18 First 10'!$B:$L,7,FALSE))/VLOOKUP($A19,'17-18 First 10'!$B:$L,2,FALSE),"")</f>
        <v>-0.8</v>
      </c>
      <c r="E19" s="8">
        <f>IFERROR((VLOOKUP($A19,'17-18 First 15'!$B:$L,6,FALSE)-VLOOKUP($A19,'17-18 First 15'!$B:$L,7,FALSE))/VLOOKUP($A19,'17-18 First 15'!$B:$L,2,FALSE),"")</f>
        <v>-0.26666666666666666</v>
      </c>
      <c r="F19" s="8">
        <f>IFERROR((VLOOKUP($A19,'17-18 First 20'!$B:$L,6,FALSE)-VLOOKUP($A19,'17-18 First 20'!$B:$L,7,FALSE))/VLOOKUP($A19,'17-18 First 20'!$B:$L,2,FALSE),"")</f>
        <v>-0.65</v>
      </c>
      <c r="G19" s="9">
        <v>12</v>
      </c>
      <c r="H19" s="3">
        <f t="shared" si="0"/>
        <v>10</v>
      </c>
      <c r="I19" s="3">
        <f t="shared" si="1"/>
        <v>17</v>
      </c>
      <c r="J19" s="3">
        <f t="shared" si="2"/>
        <v>16</v>
      </c>
      <c r="K19" s="3">
        <f t="shared" si="3"/>
        <v>11</v>
      </c>
      <c r="L19" s="3">
        <f t="shared" si="4"/>
        <v>14</v>
      </c>
      <c r="M19" s="3">
        <f t="shared" si="5"/>
        <v>2</v>
      </c>
      <c r="N19" s="3">
        <f t="shared" si="6"/>
        <v>5</v>
      </c>
      <c r="O19" s="3">
        <f t="shared" si="7"/>
        <v>4</v>
      </c>
      <c r="P19" s="3">
        <f t="shared" si="8"/>
        <v>1</v>
      </c>
      <c r="Q19" s="3">
        <f t="shared" si="9"/>
        <v>2</v>
      </c>
      <c r="R19" s="3">
        <f t="shared" si="10"/>
        <v>4</v>
      </c>
      <c r="S19" s="3">
        <f t="shared" si="11"/>
        <v>25</v>
      </c>
      <c r="T19" s="3">
        <f t="shared" si="12"/>
        <v>16</v>
      </c>
      <c r="U19" s="3">
        <f t="shared" si="13"/>
        <v>1</v>
      </c>
      <c r="V19" s="3">
        <f t="shared" si="14"/>
        <v>4</v>
      </c>
    </row>
    <row r="20" spans="1:22" x14ac:dyDescent="0.25">
      <c r="A20" s="7" t="s">
        <v>45</v>
      </c>
      <c r="B20" s="8">
        <f>IFERROR((VLOOKUP($A20,'16-17'!$B:$L,6,FALSE)-VLOOKUP($A20,'16-17'!$B:$L,7,FALSE))/VLOOKUP($A20,'16-17'!$B:$L,2,FALSE),"")</f>
        <v>-0.21052631578947367</v>
      </c>
      <c r="C20" s="8">
        <f>IFERROR((VLOOKUP($A20,'17-18 First 5'!$B:$L,6,FALSE)-VLOOKUP($A20,'17-18 First 5'!$B:$L,7,FALSE))/VLOOKUP($A20,'17-18 First 5'!$B:$L,2,FALSE),"")</f>
        <v>0</v>
      </c>
      <c r="D20" s="8">
        <f>IFERROR((VLOOKUP($A20,'17-18 First 10'!$B:$L,6,FALSE)-VLOOKUP($A20,'17-18 First 10'!$B:$L,7,FALSE))/VLOOKUP($A20,'17-18 First 10'!$B:$L,2,FALSE),"")</f>
        <v>-0.4</v>
      </c>
      <c r="E20" s="8">
        <f>IFERROR((VLOOKUP($A20,'17-18 First 15'!$B:$L,6,FALSE)-VLOOKUP($A20,'17-18 First 15'!$B:$L,7,FALSE))/VLOOKUP($A20,'17-18 First 15'!$B:$L,2,FALSE),"")</f>
        <v>-0.6</v>
      </c>
      <c r="F20" s="8">
        <f>IFERROR((VLOOKUP($A20,'17-18 First 20'!$B:$L,6,FALSE)-VLOOKUP($A20,'17-18 First 20'!$B:$L,7,FALSE))/VLOOKUP($A20,'17-18 First 20'!$B:$L,2,FALSE),"")</f>
        <v>-0.65</v>
      </c>
      <c r="G20" s="9">
        <v>20</v>
      </c>
      <c r="H20" s="3">
        <f t="shared" si="0"/>
        <v>9</v>
      </c>
      <c r="I20" s="3">
        <f t="shared" si="1"/>
        <v>8</v>
      </c>
      <c r="J20" s="3">
        <f t="shared" si="2"/>
        <v>13</v>
      </c>
      <c r="K20" s="3">
        <f t="shared" si="3"/>
        <v>14</v>
      </c>
      <c r="L20" s="3">
        <f t="shared" si="4"/>
        <v>14</v>
      </c>
      <c r="M20" s="3">
        <f t="shared" si="5"/>
        <v>11</v>
      </c>
      <c r="N20" s="3">
        <f t="shared" si="6"/>
        <v>12</v>
      </c>
      <c r="O20" s="3">
        <f t="shared" si="7"/>
        <v>7</v>
      </c>
      <c r="P20" s="3">
        <f t="shared" si="8"/>
        <v>6</v>
      </c>
      <c r="Q20" s="3">
        <f t="shared" si="9"/>
        <v>6</v>
      </c>
      <c r="R20" s="3">
        <f t="shared" si="10"/>
        <v>121</v>
      </c>
      <c r="S20" s="3">
        <f t="shared" si="11"/>
        <v>144</v>
      </c>
      <c r="T20" s="3">
        <f t="shared" si="12"/>
        <v>49</v>
      </c>
      <c r="U20" s="3">
        <f t="shared" si="13"/>
        <v>36</v>
      </c>
      <c r="V20" s="3">
        <f t="shared" si="14"/>
        <v>36</v>
      </c>
    </row>
    <row r="21" spans="1:22" x14ac:dyDescent="0.25">
      <c r="A21" s="7" t="s">
        <v>46</v>
      </c>
      <c r="B21" s="8">
        <f>IFERROR((VLOOKUP($A21,'16-17'!$B:$L,6,FALSE)-VLOOKUP($A21,'16-17'!$B:$L,7,FALSE))/VLOOKUP($A21,'16-17'!$B:$L,2,FALSE),"")</f>
        <v>-0.65789473684210531</v>
      </c>
      <c r="C21" s="8">
        <f>IFERROR((VLOOKUP($A21,'17-18 First 5'!$B:$L,6,FALSE)-VLOOKUP($A21,'17-18 First 5'!$B:$L,7,FALSE))/VLOOKUP($A21,'17-18 First 5'!$B:$L,2,FALSE),"")</f>
        <v>-0.6</v>
      </c>
      <c r="D21" s="8">
        <f>IFERROR((VLOOKUP($A21,'17-18 First 10'!$B:$L,6,FALSE)-VLOOKUP($A21,'17-18 First 10'!$B:$L,7,FALSE))/VLOOKUP($A21,'17-18 First 10'!$B:$L,2,FALSE),"")</f>
        <v>-0.5</v>
      </c>
      <c r="E21" s="8">
        <f>IFERROR((VLOOKUP($A21,'17-18 First 15'!$B:$L,6,FALSE)-VLOOKUP($A21,'17-18 First 15'!$B:$L,7,FALSE))/VLOOKUP($A21,'17-18 First 15'!$B:$L,2,FALSE),"")</f>
        <v>-0.66666666666666663</v>
      </c>
      <c r="F21" s="8">
        <f>IFERROR((VLOOKUP($A21,'17-18 First 20'!$B:$L,6,FALSE)-VLOOKUP($A21,'17-18 First 20'!$B:$L,7,FALSE))/VLOOKUP($A21,'17-18 First 20'!$B:$L,2,FALSE),"")</f>
        <v>-1</v>
      </c>
      <c r="G21" s="9">
        <v>18</v>
      </c>
      <c r="H21" s="3">
        <f t="shared" si="0"/>
        <v>16</v>
      </c>
      <c r="I21" s="3">
        <f t="shared" si="1"/>
        <v>15</v>
      </c>
      <c r="J21" s="3">
        <f t="shared" si="2"/>
        <v>14</v>
      </c>
      <c r="K21" s="3">
        <f t="shared" si="3"/>
        <v>16</v>
      </c>
      <c r="L21" s="3">
        <f t="shared" si="4"/>
        <v>20</v>
      </c>
      <c r="M21" s="3">
        <f t="shared" si="5"/>
        <v>2</v>
      </c>
      <c r="N21" s="3">
        <f t="shared" si="6"/>
        <v>3</v>
      </c>
      <c r="O21" s="3">
        <f t="shared" si="7"/>
        <v>4</v>
      </c>
      <c r="P21" s="3">
        <f t="shared" si="8"/>
        <v>2</v>
      </c>
      <c r="Q21" s="3">
        <f t="shared" si="9"/>
        <v>2</v>
      </c>
      <c r="R21" s="3">
        <f t="shared" si="10"/>
        <v>4</v>
      </c>
      <c r="S21" s="3">
        <f t="shared" si="11"/>
        <v>9</v>
      </c>
      <c r="T21" s="3">
        <f t="shared" si="12"/>
        <v>16</v>
      </c>
      <c r="U21" s="3">
        <f t="shared" si="13"/>
        <v>4</v>
      </c>
      <c r="V21" s="3">
        <f t="shared" si="14"/>
        <v>4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16-17</vt:lpstr>
      <vt:lpstr>17-18 First 5</vt:lpstr>
      <vt:lpstr>17-18 First 10</vt:lpstr>
      <vt:lpstr>17-18 First 15</vt:lpstr>
      <vt:lpstr>17-18 First 20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Xiwen Hu</cp:lastModifiedBy>
  <dcterms:created xsi:type="dcterms:W3CDTF">2026-04-27T18:49:10Z</dcterms:created>
  <dcterms:modified xsi:type="dcterms:W3CDTF">2026-04-28T18:53:37Z</dcterms:modified>
</cp:coreProperties>
</file>