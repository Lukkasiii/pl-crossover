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80d026f62d86b2a/Desktop/Final Presentation/新建文件夹/"/>
    </mc:Choice>
  </mc:AlternateContent>
  <xr:revisionPtr revIDLastSave="7" documentId="11_BD71B850E748E381DBC1E1AA6BD756CB8BD2180F" xr6:coauthVersionLast="47" xr6:coauthVersionMax="47" xr10:uidLastSave="{82DF67C7-2DBB-47CE-A3A0-9942384A53F5}"/>
  <bookViews>
    <workbookView minimized="1" xWindow="4160" yWindow="4160" windowWidth="19200" windowHeight="11170" activeTab="5" xr2:uid="{00000000-000D-0000-FFFF-FFFF00000000}"/>
  </bookViews>
  <sheets>
    <sheet name="22-23" sheetId="1" r:id="rId1"/>
    <sheet name="23-24 First 5" sheetId="2" r:id="rId2"/>
    <sheet name="23-24 First 10" sheetId="3" r:id="rId3"/>
    <sheet name="23-24 First 15" sheetId="4" r:id="rId4"/>
    <sheet name="23-24 First 20" sheetId="5" r:id="rId5"/>
    <sheet name="Sheet1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6" l="1"/>
  <c r="E21" i="6"/>
  <c r="D21" i="6"/>
  <c r="C21" i="6"/>
  <c r="B21" i="6"/>
  <c r="H21" i="6" s="1"/>
  <c r="M21" i="6" s="1"/>
  <c r="R21" i="6" s="1"/>
  <c r="F20" i="6"/>
  <c r="E20" i="6"/>
  <c r="D20" i="6"/>
  <c r="C20" i="6"/>
  <c r="B20" i="6"/>
  <c r="H20" i="6" s="1"/>
  <c r="M20" i="6" s="1"/>
  <c r="R20" i="6" s="1"/>
  <c r="F19" i="6"/>
  <c r="E19" i="6"/>
  <c r="D19" i="6"/>
  <c r="C19" i="6"/>
  <c r="B19" i="6"/>
  <c r="F18" i="6"/>
  <c r="E18" i="6"/>
  <c r="D18" i="6"/>
  <c r="C18" i="6"/>
  <c r="B18" i="6"/>
  <c r="F17" i="6"/>
  <c r="E17" i="6"/>
  <c r="D17" i="6"/>
  <c r="C17" i="6"/>
  <c r="B17" i="6"/>
  <c r="F16" i="6"/>
  <c r="E16" i="6"/>
  <c r="D16" i="6"/>
  <c r="C16" i="6"/>
  <c r="B16" i="6"/>
  <c r="F15" i="6"/>
  <c r="E15" i="6"/>
  <c r="D15" i="6"/>
  <c r="C15" i="6"/>
  <c r="B15" i="6"/>
  <c r="F14" i="6"/>
  <c r="E14" i="6"/>
  <c r="D14" i="6"/>
  <c r="C14" i="6"/>
  <c r="B14" i="6"/>
  <c r="F13" i="6"/>
  <c r="E13" i="6"/>
  <c r="D13" i="6"/>
  <c r="C13" i="6"/>
  <c r="B13" i="6"/>
  <c r="F12" i="6"/>
  <c r="E12" i="6"/>
  <c r="D12" i="6"/>
  <c r="C12" i="6"/>
  <c r="B12" i="6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F4" i="6"/>
  <c r="E4" i="6"/>
  <c r="D4" i="6"/>
  <c r="C4" i="6"/>
  <c r="B4" i="6"/>
  <c r="F3" i="6"/>
  <c r="E3" i="6"/>
  <c r="D3" i="6"/>
  <c r="C3" i="6"/>
  <c r="B3" i="6"/>
  <c r="F2" i="6"/>
  <c r="E2" i="6"/>
  <c r="D2" i="6"/>
  <c r="C2" i="6"/>
  <c r="B2" i="6"/>
  <c r="I19" i="6" l="1"/>
  <c r="N19" i="6" s="1"/>
  <c r="S19" i="6" s="1"/>
  <c r="L13" i="6"/>
  <c r="Q13" i="6" s="1"/>
  <c r="V13" i="6" s="1"/>
  <c r="K18" i="6"/>
  <c r="P18" i="6" s="1"/>
  <c r="U18" i="6" s="1"/>
  <c r="J19" i="6"/>
  <c r="O19" i="6" s="1"/>
  <c r="T19" i="6" s="1"/>
  <c r="L17" i="6"/>
  <c r="Q17" i="6" s="1"/>
  <c r="V17" i="6" s="1"/>
  <c r="L21" i="6"/>
  <c r="Q21" i="6" s="1"/>
  <c r="V21" i="6" s="1"/>
  <c r="K21" i="6"/>
  <c r="P21" i="6" s="1"/>
  <c r="U21" i="6" s="1"/>
  <c r="J21" i="6"/>
  <c r="O21" i="6" s="1"/>
  <c r="T21" i="6" s="1"/>
  <c r="I21" i="6"/>
  <c r="N21" i="6" s="1"/>
  <c r="S21" i="6" s="1"/>
  <c r="L20" i="6"/>
  <c r="Q20" i="6" s="1"/>
  <c r="V20" i="6" s="1"/>
  <c r="K20" i="6"/>
  <c r="P20" i="6" s="1"/>
  <c r="U20" i="6" s="1"/>
  <c r="J20" i="6"/>
  <c r="O20" i="6" s="1"/>
  <c r="T20" i="6" s="1"/>
  <c r="I20" i="6"/>
  <c r="N20" i="6" s="1"/>
  <c r="S20" i="6" s="1"/>
  <c r="L19" i="6"/>
  <c r="Q19" i="6" s="1"/>
  <c r="V19" i="6" s="1"/>
  <c r="K19" i="6"/>
  <c r="P19" i="6" s="1"/>
  <c r="U19" i="6" s="1"/>
  <c r="K17" i="6"/>
  <c r="P17" i="6" s="1"/>
  <c r="U17" i="6" s="1"/>
  <c r="J17" i="6"/>
  <c r="O17" i="6" s="1"/>
  <c r="T17" i="6" s="1"/>
  <c r="I17" i="6"/>
  <c r="N17" i="6" s="1"/>
  <c r="S17" i="6" s="1"/>
  <c r="H17" i="6"/>
  <c r="M17" i="6" s="1"/>
  <c r="R17" i="6" s="1"/>
  <c r="L16" i="6"/>
  <c r="Q16" i="6" s="1"/>
  <c r="V16" i="6" s="1"/>
  <c r="K16" i="6"/>
  <c r="P16" i="6" s="1"/>
  <c r="U16" i="6" s="1"/>
  <c r="J16" i="6"/>
  <c r="O16" i="6" s="1"/>
  <c r="T16" i="6" s="1"/>
  <c r="I16" i="6"/>
  <c r="N16" i="6" s="1"/>
  <c r="S16" i="6" s="1"/>
  <c r="H16" i="6"/>
  <c r="M16" i="6" s="1"/>
  <c r="R16" i="6" s="1"/>
  <c r="L15" i="6"/>
  <c r="Q15" i="6" s="1"/>
  <c r="V15" i="6" s="1"/>
  <c r="K15" i="6"/>
  <c r="P15" i="6" s="1"/>
  <c r="U15" i="6" s="1"/>
  <c r="J15" i="6"/>
  <c r="O15" i="6" s="1"/>
  <c r="T15" i="6" s="1"/>
  <c r="I15" i="6"/>
  <c r="N15" i="6" s="1"/>
  <c r="S15" i="6" s="1"/>
  <c r="H15" i="6"/>
  <c r="M15" i="6" s="1"/>
  <c r="R15" i="6" s="1"/>
  <c r="L14" i="6"/>
  <c r="Q14" i="6" s="1"/>
  <c r="V14" i="6" s="1"/>
  <c r="K14" i="6"/>
  <c r="P14" i="6" s="1"/>
  <c r="U14" i="6" s="1"/>
  <c r="J14" i="6"/>
  <c r="O14" i="6" s="1"/>
  <c r="T14" i="6" s="1"/>
  <c r="I14" i="6"/>
  <c r="N14" i="6" s="1"/>
  <c r="S14" i="6" s="1"/>
  <c r="H14" i="6"/>
  <c r="M14" i="6" s="1"/>
  <c r="R14" i="6" s="1"/>
  <c r="J13" i="6"/>
  <c r="O13" i="6" s="1"/>
  <c r="T13" i="6" s="1"/>
  <c r="I13" i="6"/>
  <c r="N13" i="6" s="1"/>
  <c r="S13" i="6" s="1"/>
  <c r="H13" i="6"/>
  <c r="M13" i="6" s="1"/>
  <c r="R13" i="6" s="1"/>
  <c r="L12" i="6"/>
  <c r="Q12" i="6" s="1"/>
  <c r="V12" i="6" s="1"/>
  <c r="K12" i="6"/>
  <c r="P12" i="6" s="1"/>
  <c r="U12" i="6" s="1"/>
  <c r="J12" i="6"/>
  <c r="O12" i="6" s="1"/>
  <c r="T12" i="6" s="1"/>
  <c r="I12" i="6"/>
  <c r="N12" i="6" s="1"/>
  <c r="S12" i="6" s="1"/>
  <c r="H12" i="6"/>
  <c r="M12" i="6" s="1"/>
  <c r="R12" i="6" s="1"/>
  <c r="L11" i="6"/>
  <c r="Q11" i="6" s="1"/>
  <c r="K11" i="6"/>
  <c r="P11" i="6" s="1"/>
  <c r="J11" i="6"/>
  <c r="O11" i="6" s="1"/>
  <c r="I11" i="6"/>
  <c r="N11" i="6" s="1"/>
  <c r="H11" i="6"/>
  <c r="M11" i="6" s="1"/>
  <c r="R11" i="6" s="1"/>
  <c r="L10" i="6"/>
  <c r="Q10" i="6" s="1"/>
  <c r="V10" i="6" s="1"/>
  <c r="K10" i="6"/>
  <c r="P10" i="6" s="1"/>
  <c r="U10" i="6" s="1"/>
  <c r="J10" i="6"/>
  <c r="O10" i="6" s="1"/>
  <c r="T10" i="6" s="1"/>
  <c r="I10" i="6"/>
  <c r="N10" i="6" s="1"/>
  <c r="S10" i="6" s="1"/>
  <c r="H10" i="6"/>
  <c r="M10" i="6" s="1"/>
  <c r="R10" i="6" s="1"/>
  <c r="L9" i="6"/>
  <c r="Q9" i="6" s="1"/>
  <c r="V9" i="6" s="1"/>
  <c r="K9" i="6"/>
  <c r="P9" i="6" s="1"/>
  <c r="U9" i="6" s="1"/>
  <c r="H18" i="6"/>
  <c r="M18" i="6" s="1"/>
  <c r="R18" i="6" s="1"/>
  <c r="J9" i="6"/>
  <c r="O9" i="6" s="1"/>
  <c r="T9" i="6" s="1"/>
  <c r="I9" i="6"/>
  <c r="N9" i="6" s="1"/>
  <c r="S9" i="6" s="1"/>
  <c r="H9" i="6"/>
  <c r="M9" i="6" s="1"/>
  <c r="R9" i="6" s="1"/>
  <c r="L8" i="6"/>
  <c r="Q8" i="6" s="1"/>
  <c r="V8" i="6" s="1"/>
  <c r="K8" i="6"/>
  <c r="P8" i="6" s="1"/>
  <c r="U8" i="6" s="1"/>
  <c r="J8" i="6"/>
  <c r="O8" i="6" s="1"/>
  <c r="T8" i="6" s="1"/>
  <c r="I8" i="6"/>
  <c r="N8" i="6" s="1"/>
  <c r="S8" i="6" s="1"/>
  <c r="H8" i="6"/>
  <c r="M8" i="6" s="1"/>
  <c r="R8" i="6" s="1"/>
  <c r="L7" i="6"/>
  <c r="Q7" i="6" s="1"/>
  <c r="V7" i="6" s="1"/>
  <c r="K7" i="6"/>
  <c r="P7" i="6" s="1"/>
  <c r="U7" i="6" s="1"/>
  <c r="J7" i="6"/>
  <c r="O7" i="6" s="1"/>
  <c r="T7" i="6" s="1"/>
  <c r="I7" i="6"/>
  <c r="N7" i="6" s="1"/>
  <c r="S7" i="6" s="1"/>
  <c r="H7" i="6"/>
  <c r="M7" i="6" s="1"/>
  <c r="R7" i="6" s="1"/>
  <c r="L6" i="6"/>
  <c r="Q6" i="6" s="1"/>
  <c r="V6" i="6" s="1"/>
  <c r="K6" i="6"/>
  <c r="P6" i="6" s="1"/>
  <c r="U6" i="6" s="1"/>
  <c r="J6" i="6"/>
  <c r="O6" i="6" s="1"/>
  <c r="T6" i="6" s="1"/>
  <c r="I6" i="6"/>
  <c r="N6" i="6" s="1"/>
  <c r="S6" i="6" s="1"/>
  <c r="H6" i="6"/>
  <c r="M6" i="6" s="1"/>
  <c r="R6" i="6" s="1"/>
  <c r="L5" i="6"/>
  <c r="Q5" i="6" s="1"/>
  <c r="V5" i="6" s="1"/>
  <c r="K5" i="6"/>
  <c r="P5" i="6" s="1"/>
  <c r="U5" i="6" s="1"/>
  <c r="I18" i="6"/>
  <c r="N18" i="6" s="1"/>
  <c r="S18" i="6" s="1"/>
  <c r="K13" i="6"/>
  <c r="P13" i="6" s="1"/>
  <c r="U13" i="6" s="1"/>
  <c r="J5" i="6"/>
  <c r="O5" i="6" s="1"/>
  <c r="T5" i="6" s="1"/>
  <c r="I5" i="6"/>
  <c r="N5" i="6" s="1"/>
  <c r="S5" i="6" s="1"/>
  <c r="H5" i="6"/>
  <c r="M5" i="6" s="1"/>
  <c r="R5" i="6" s="1"/>
  <c r="L4" i="6"/>
  <c r="Q4" i="6" s="1"/>
  <c r="V4" i="6" s="1"/>
  <c r="K4" i="6"/>
  <c r="P4" i="6" s="1"/>
  <c r="U4" i="6" s="1"/>
  <c r="J4" i="6"/>
  <c r="O4" i="6" s="1"/>
  <c r="T4" i="6" s="1"/>
  <c r="I4" i="6"/>
  <c r="N4" i="6" s="1"/>
  <c r="S4" i="6" s="1"/>
  <c r="H4" i="6"/>
  <c r="M4" i="6" s="1"/>
  <c r="R4" i="6" s="1"/>
  <c r="L3" i="6"/>
  <c r="Q3" i="6" s="1"/>
  <c r="V3" i="6" s="1"/>
  <c r="K3" i="6"/>
  <c r="P3" i="6" s="1"/>
  <c r="U3" i="6" s="1"/>
  <c r="J3" i="6"/>
  <c r="O3" i="6" s="1"/>
  <c r="T3" i="6" s="1"/>
  <c r="I3" i="6"/>
  <c r="N3" i="6" s="1"/>
  <c r="S3" i="6" s="1"/>
  <c r="H3" i="6"/>
  <c r="M3" i="6" s="1"/>
  <c r="R3" i="6" s="1"/>
  <c r="L2" i="6"/>
  <c r="Q2" i="6" s="1"/>
  <c r="V2" i="6" s="1"/>
  <c r="K2" i="6"/>
  <c r="P2" i="6" s="1"/>
  <c r="U2" i="6" s="1"/>
  <c r="J2" i="6"/>
  <c r="O2" i="6" s="1"/>
  <c r="T2" i="6" s="1"/>
  <c r="I2" i="6"/>
  <c r="N2" i="6" s="1"/>
  <c r="S2" i="6" s="1"/>
  <c r="J18" i="6"/>
  <c r="O18" i="6" s="1"/>
  <c r="T18" i="6" s="1"/>
  <c r="L18" i="6"/>
  <c r="Q18" i="6" s="1"/>
  <c r="V18" i="6" s="1"/>
  <c r="H2" i="6"/>
  <c r="M2" i="6" s="1"/>
  <c r="H19" i="6"/>
  <c r="M19" i="6" s="1"/>
  <c r="R19" i="6" s="1"/>
  <c r="V11" i="6" l="1"/>
  <c r="Z5" i="6" s="1"/>
  <c r="Y5" i="6"/>
  <c r="U11" i="6"/>
  <c r="Z4" i="6" s="1"/>
  <c r="Y4" i="6"/>
  <c r="T11" i="6"/>
  <c r="Z3" i="6" s="1"/>
  <c r="Y3" i="6"/>
  <c r="S11" i="6"/>
  <c r="Z2" i="6" s="1"/>
  <c r="Y2" i="6"/>
  <c r="R2" i="6"/>
  <c r="AA2" i="6"/>
  <c r="AA3" i="6"/>
  <c r="AA4" i="6"/>
  <c r="AA5" i="6"/>
  <c r="AB2" i="6" l="1"/>
  <c r="AB3" i="6"/>
  <c r="AB4" i="6"/>
  <c r="AB5" i="6"/>
</calcChain>
</file>

<file path=xl/sharedStrings.xml><?xml version="1.0" encoding="utf-8"?>
<sst xmlns="http://schemas.openxmlformats.org/spreadsheetml/2006/main" count="207" uniqueCount="62">
  <si>
    <t>number</t>
  </si>
  <si>
    <t>team</t>
  </si>
  <si>
    <t>matches</t>
  </si>
  <si>
    <t>wins</t>
  </si>
  <si>
    <t>draws</t>
  </si>
  <si>
    <t>loses</t>
  </si>
  <si>
    <t>goals</t>
  </si>
  <si>
    <t>ga</t>
  </si>
  <si>
    <t>points</t>
  </si>
  <si>
    <t>xG</t>
  </si>
  <si>
    <t>xGA</t>
  </si>
  <si>
    <t>xPTS</t>
  </si>
  <si>
    <t>Liverpool</t>
  </si>
  <si>
    <t>Aston Villa</t>
  </si>
  <si>
    <t>Manchester City</t>
  </si>
  <si>
    <t>Arsenal</t>
  </si>
  <si>
    <t>Tottenham</t>
  </si>
  <si>
    <t>West Ham</t>
  </si>
  <si>
    <t>Brighton</t>
  </si>
  <si>
    <t>Manchester United</t>
  </si>
  <si>
    <t>Newcastle United</t>
  </si>
  <si>
    <t>Chelsea</t>
  </si>
  <si>
    <t>Wolverhampton Wanderers</t>
  </si>
  <si>
    <t>Everton</t>
  </si>
  <si>
    <t>Bournemouth</t>
  </si>
  <si>
    <t>Fulham</t>
  </si>
  <si>
    <t>Crystal Palace</t>
  </si>
  <si>
    <t>Nottingham Forest</t>
  </si>
  <si>
    <t>Brentford</t>
  </si>
  <si>
    <t>Luton</t>
  </si>
  <si>
    <t>Burnley</t>
  </si>
  <si>
    <t>Sheffield United</t>
  </si>
  <si>
    <t>Leicester</t>
  </si>
  <si>
    <t>Leeds</t>
  </si>
  <si>
    <t>Southampton</t>
  </si>
  <si>
    <t>Team</t>
  </si>
  <si>
    <t>22-23 GD/Game</t>
  </si>
  <si>
    <t>23-24 GD/Game 5</t>
  </si>
  <si>
    <t>23-24 GD/Game 10</t>
  </si>
  <si>
    <t>23-24 GD/Game 15</t>
  </si>
  <si>
    <t>23-24 GD/Game 20</t>
  </si>
  <si>
    <t>Final Rank</t>
  </si>
  <si>
    <t>Rank 22-23</t>
  </si>
  <si>
    <t>Rank 5</t>
  </si>
  <si>
    <t>Rank 10</t>
  </si>
  <si>
    <t>Rank 15</t>
  </si>
  <si>
    <t>Rank 20</t>
  </si>
  <si>
    <t>Error 22-23</t>
  </si>
  <si>
    <t>Error 5</t>
  </si>
  <si>
    <t>Error 10</t>
  </si>
  <si>
    <t>Error 15</t>
  </si>
  <si>
    <t>Error 20</t>
  </si>
  <si>
    <t>Sq Error 22-23</t>
  </si>
  <si>
    <t>Sq Error 5</t>
  </si>
  <si>
    <t>Sq Error 10</t>
  </si>
  <si>
    <t>Sq Error 15</t>
  </si>
  <si>
    <t>Sq Error 20</t>
  </si>
  <si>
    <t>Games</t>
  </si>
  <si>
    <t>Current MAE</t>
  </si>
  <si>
    <t>Current RMSE</t>
  </si>
  <si>
    <t>Last Season MAE</t>
  </si>
  <si>
    <t>Last Season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</si>
</sst>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76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4" borderId="0" xfId="0" applyFill="1"/>
    <xf numFmtId="176" fontId="0" fillId="4" borderId="0" xfId="0" applyNumberFormat="1" applyFill="1"/>
    <xf numFmtId="1" fontId="0" fillId="3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Current MAE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Sheet1!$Y$2:$Y$5</c:f>
              <c:numCache>
                <c:formatCode>0.00</c:formatCode>
                <c:ptCount val="4"/>
                <c:pt idx="0">
                  <c:v>3.5</c:v>
                </c:pt>
                <c:pt idx="1">
                  <c:v>2.8</c:v>
                </c:pt>
                <c:pt idx="2">
                  <c:v>2.0499999999999998</c:v>
                </c:pt>
                <c:pt idx="3">
                  <c:v>1.95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1C-4A41-A343-DD526E882AD9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Current RMSE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Sheet1!$Z$2:$Z$5</c:f>
              <c:numCache>
                <c:formatCode>0.00</c:formatCode>
                <c:ptCount val="4"/>
                <c:pt idx="0">
                  <c:v>4.358898943540674</c:v>
                </c:pt>
                <c:pt idx="1">
                  <c:v>3.6742346141747673</c:v>
                </c:pt>
                <c:pt idx="2">
                  <c:v>2.9240383034426891</c:v>
                </c:pt>
                <c:pt idx="3">
                  <c:v>2.6739483914241875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1C-4A41-A343-DD526E882AD9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Last Season MAE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Sheet1!$AA$2:$AA$5</c:f>
              <c:numCache>
                <c:formatCode>0.00</c:formatCode>
                <c:ptCount val="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1C-4A41-A343-DD526E882AD9}"/>
            </c:ext>
          </c:extLst>
        </c:ser>
        <c:ser>
          <c:idx val="3"/>
          <c:order val="3"/>
          <c:tx>
            <c:strRef>
              <c:f>Sheet1!$AB$1</c:f>
              <c:strCache>
                <c:ptCount val="1"/>
                <c:pt idx="0">
                  <c:v>Last Season RMSE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Sheet1!$AB$2:$AB$5</c:f>
              <c:numCache>
                <c:formatCode>0.00</c:formatCode>
                <c:ptCount val="4"/>
                <c:pt idx="0">
                  <c:v>3.8424869397764962</c:v>
                </c:pt>
                <c:pt idx="1">
                  <c:v>3.8424869397764962</c:v>
                </c:pt>
                <c:pt idx="2">
                  <c:v>3.8424869397764962</c:v>
                </c:pt>
                <c:pt idx="3">
                  <c:v>3.8424869397764962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1C-4A41-A343-DD526E882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174463"/>
        <c:axId val="556163423"/>
      </c:scatterChart>
      <c:valAx>
        <c:axId val="556174463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6163423"/>
        <c:crosses val="autoZero"/>
        <c:crossBetween val="midCat"/>
      </c:valAx>
      <c:valAx>
        <c:axId val="556163423"/>
        <c:scaling>
          <c:orientation val="minMax"/>
          <c:max val="4.5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6174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12700</xdr:colOff>
      <xdr:row>7</xdr:row>
      <xdr:rowOff>114306</xdr:rowOff>
    </xdr:from>
    <xdr:to>
      <xdr:col>27</xdr:col>
      <xdr:colOff>0</xdr:colOff>
      <xdr:row>22</xdr:row>
      <xdr:rowOff>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31C2EBF-EB29-D479-A6FB-C59D7C373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activeCell="C2" sqref="C2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14</v>
      </c>
      <c r="C2">
        <v>38</v>
      </c>
      <c r="D2">
        <v>28</v>
      </c>
      <c r="E2">
        <v>5</v>
      </c>
      <c r="F2">
        <v>5</v>
      </c>
      <c r="G2">
        <v>94</v>
      </c>
      <c r="H2">
        <v>33</v>
      </c>
      <c r="I2">
        <v>89</v>
      </c>
      <c r="J2">
        <v>84.32</v>
      </c>
      <c r="K2">
        <v>34.21</v>
      </c>
      <c r="L2">
        <v>83.04</v>
      </c>
    </row>
    <row r="3" spans="1:12" x14ac:dyDescent="0.25">
      <c r="A3">
        <v>2</v>
      </c>
      <c r="B3" t="s">
        <v>15</v>
      </c>
      <c r="C3">
        <v>38</v>
      </c>
      <c r="D3">
        <v>26</v>
      </c>
      <c r="E3">
        <v>6</v>
      </c>
      <c r="F3">
        <v>6</v>
      </c>
      <c r="G3">
        <v>88</v>
      </c>
      <c r="H3">
        <v>43</v>
      </c>
      <c r="I3">
        <v>84</v>
      </c>
      <c r="J3">
        <v>76.510000000000005</v>
      </c>
      <c r="K3">
        <v>45.16</v>
      </c>
      <c r="L3">
        <v>72.53</v>
      </c>
    </row>
    <row r="4" spans="1:12" x14ac:dyDescent="0.25">
      <c r="A4">
        <v>3</v>
      </c>
      <c r="B4" t="s">
        <v>19</v>
      </c>
      <c r="C4">
        <v>38</v>
      </c>
      <c r="D4">
        <v>23</v>
      </c>
      <c r="E4">
        <v>6</v>
      </c>
      <c r="F4">
        <v>9</v>
      </c>
      <c r="G4">
        <v>58</v>
      </c>
      <c r="H4">
        <v>43</v>
      </c>
      <c r="I4">
        <v>75</v>
      </c>
      <c r="J4">
        <v>71.900000000000006</v>
      </c>
      <c r="K4">
        <v>50.29</v>
      </c>
      <c r="L4">
        <v>66.400000000000006</v>
      </c>
    </row>
    <row r="5" spans="1:12" x14ac:dyDescent="0.25">
      <c r="A5">
        <v>4</v>
      </c>
      <c r="B5" t="s">
        <v>20</v>
      </c>
      <c r="C5">
        <v>38</v>
      </c>
      <c r="D5">
        <v>19</v>
      </c>
      <c r="E5">
        <v>14</v>
      </c>
      <c r="F5">
        <v>5</v>
      </c>
      <c r="G5">
        <v>68</v>
      </c>
      <c r="H5">
        <v>33</v>
      </c>
      <c r="I5">
        <v>71</v>
      </c>
      <c r="J5">
        <v>76.98</v>
      </c>
      <c r="K5">
        <v>41.86</v>
      </c>
      <c r="L5">
        <v>71.67</v>
      </c>
    </row>
    <row r="6" spans="1:12" x14ac:dyDescent="0.25">
      <c r="A6">
        <v>5</v>
      </c>
      <c r="B6" t="s">
        <v>12</v>
      </c>
      <c r="C6">
        <v>38</v>
      </c>
      <c r="D6">
        <v>19</v>
      </c>
      <c r="E6">
        <v>10</v>
      </c>
      <c r="F6">
        <v>9</v>
      </c>
      <c r="G6">
        <v>75</v>
      </c>
      <c r="H6">
        <v>47</v>
      </c>
      <c r="I6">
        <v>67</v>
      </c>
      <c r="J6">
        <v>80.77</v>
      </c>
      <c r="K6">
        <v>55.77</v>
      </c>
      <c r="L6">
        <v>67.37</v>
      </c>
    </row>
    <row r="7" spans="1:12" x14ac:dyDescent="0.25">
      <c r="A7">
        <v>6</v>
      </c>
      <c r="B7" t="s">
        <v>18</v>
      </c>
      <c r="C7">
        <v>38</v>
      </c>
      <c r="D7">
        <v>18</v>
      </c>
      <c r="E7">
        <v>8</v>
      </c>
      <c r="F7">
        <v>12</v>
      </c>
      <c r="G7">
        <v>72</v>
      </c>
      <c r="H7">
        <v>53</v>
      </c>
      <c r="I7">
        <v>62</v>
      </c>
      <c r="J7">
        <v>77.72</v>
      </c>
      <c r="K7">
        <v>50.15</v>
      </c>
      <c r="L7">
        <v>70.86</v>
      </c>
    </row>
    <row r="8" spans="1:12" x14ac:dyDescent="0.25">
      <c r="A8">
        <v>7</v>
      </c>
      <c r="B8" t="s">
        <v>13</v>
      </c>
      <c r="C8">
        <v>38</v>
      </c>
      <c r="D8">
        <v>18</v>
      </c>
      <c r="E8">
        <v>7</v>
      </c>
      <c r="F8">
        <v>13</v>
      </c>
      <c r="G8">
        <v>51</v>
      </c>
      <c r="H8">
        <v>46</v>
      </c>
      <c r="I8">
        <v>61</v>
      </c>
      <c r="J8">
        <v>50</v>
      </c>
      <c r="K8">
        <v>53.96</v>
      </c>
      <c r="L8">
        <v>54.37</v>
      </c>
    </row>
    <row r="9" spans="1:12" x14ac:dyDescent="0.25">
      <c r="A9">
        <v>8</v>
      </c>
      <c r="B9" t="s">
        <v>16</v>
      </c>
      <c r="C9">
        <v>38</v>
      </c>
      <c r="D9">
        <v>18</v>
      </c>
      <c r="E9">
        <v>6</v>
      </c>
      <c r="F9">
        <v>14</v>
      </c>
      <c r="G9">
        <v>70</v>
      </c>
      <c r="H9">
        <v>63</v>
      </c>
      <c r="I9">
        <v>60</v>
      </c>
      <c r="J9">
        <v>57.83</v>
      </c>
      <c r="K9">
        <v>51.66</v>
      </c>
      <c r="L9">
        <v>57.6</v>
      </c>
    </row>
    <row r="10" spans="1:12" x14ac:dyDescent="0.25">
      <c r="A10">
        <v>9</v>
      </c>
      <c r="B10" t="s">
        <v>28</v>
      </c>
      <c r="C10">
        <v>38</v>
      </c>
      <c r="D10">
        <v>15</v>
      </c>
      <c r="E10">
        <v>14</v>
      </c>
      <c r="F10">
        <v>9</v>
      </c>
      <c r="G10">
        <v>58</v>
      </c>
      <c r="H10">
        <v>46</v>
      </c>
      <c r="I10">
        <v>59</v>
      </c>
      <c r="J10">
        <v>59.23</v>
      </c>
      <c r="K10">
        <v>51.45</v>
      </c>
      <c r="L10">
        <v>58.26</v>
      </c>
    </row>
    <row r="11" spans="1:12" x14ac:dyDescent="0.25">
      <c r="A11">
        <v>10</v>
      </c>
      <c r="B11" t="s">
        <v>25</v>
      </c>
      <c r="C11">
        <v>38</v>
      </c>
      <c r="D11">
        <v>15</v>
      </c>
      <c r="E11">
        <v>7</v>
      </c>
      <c r="F11">
        <v>16</v>
      </c>
      <c r="G11">
        <v>55</v>
      </c>
      <c r="H11">
        <v>53</v>
      </c>
      <c r="I11">
        <v>52</v>
      </c>
      <c r="J11">
        <v>47.98</v>
      </c>
      <c r="K11">
        <v>71.489999999999995</v>
      </c>
      <c r="L11">
        <v>39.24</v>
      </c>
    </row>
    <row r="12" spans="1:12" x14ac:dyDescent="0.25">
      <c r="A12">
        <v>11</v>
      </c>
      <c r="B12" t="s">
        <v>26</v>
      </c>
      <c r="C12">
        <v>38</v>
      </c>
      <c r="D12">
        <v>11</v>
      </c>
      <c r="E12">
        <v>12</v>
      </c>
      <c r="F12">
        <v>15</v>
      </c>
      <c r="G12">
        <v>40</v>
      </c>
      <c r="H12">
        <v>49</v>
      </c>
      <c r="I12">
        <v>45</v>
      </c>
      <c r="J12">
        <v>40.72</v>
      </c>
      <c r="K12">
        <v>51.63</v>
      </c>
      <c r="L12">
        <v>44.24</v>
      </c>
    </row>
    <row r="13" spans="1:12" x14ac:dyDescent="0.25">
      <c r="A13">
        <v>12</v>
      </c>
      <c r="B13" t="s">
        <v>21</v>
      </c>
      <c r="C13">
        <v>38</v>
      </c>
      <c r="D13">
        <v>11</v>
      </c>
      <c r="E13">
        <v>11</v>
      </c>
      <c r="F13">
        <v>16</v>
      </c>
      <c r="G13">
        <v>38</v>
      </c>
      <c r="H13">
        <v>47</v>
      </c>
      <c r="I13">
        <v>44</v>
      </c>
      <c r="J13">
        <v>51.89</v>
      </c>
      <c r="K13">
        <v>54.02</v>
      </c>
      <c r="L13">
        <v>52.28</v>
      </c>
    </row>
    <row r="14" spans="1:12" x14ac:dyDescent="0.25">
      <c r="A14">
        <v>13</v>
      </c>
      <c r="B14" t="s">
        <v>22</v>
      </c>
      <c r="C14">
        <v>38</v>
      </c>
      <c r="D14">
        <v>11</v>
      </c>
      <c r="E14">
        <v>8</v>
      </c>
      <c r="F14">
        <v>19</v>
      </c>
      <c r="G14">
        <v>31</v>
      </c>
      <c r="H14">
        <v>58</v>
      </c>
      <c r="I14">
        <v>41</v>
      </c>
      <c r="J14">
        <v>35.130000000000003</v>
      </c>
      <c r="K14">
        <v>62.68</v>
      </c>
      <c r="L14">
        <v>35.01</v>
      </c>
    </row>
    <row r="15" spans="1:12" x14ac:dyDescent="0.25">
      <c r="A15">
        <v>14</v>
      </c>
      <c r="B15" t="s">
        <v>17</v>
      </c>
      <c r="C15">
        <v>38</v>
      </c>
      <c r="D15">
        <v>11</v>
      </c>
      <c r="E15">
        <v>7</v>
      </c>
      <c r="F15">
        <v>20</v>
      </c>
      <c r="G15">
        <v>42</v>
      </c>
      <c r="H15">
        <v>55</v>
      </c>
      <c r="I15">
        <v>40</v>
      </c>
      <c r="J15">
        <v>51.21</v>
      </c>
      <c r="K15">
        <v>55.31</v>
      </c>
      <c r="L15">
        <v>51.62</v>
      </c>
    </row>
    <row r="16" spans="1:12" x14ac:dyDescent="0.25">
      <c r="A16">
        <v>15</v>
      </c>
      <c r="B16" t="s">
        <v>24</v>
      </c>
      <c r="C16">
        <v>38</v>
      </c>
      <c r="D16">
        <v>11</v>
      </c>
      <c r="E16">
        <v>6</v>
      </c>
      <c r="F16">
        <v>21</v>
      </c>
      <c r="G16">
        <v>37</v>
      </c>
      <c r="H16">
        <v>71</v>
      </c>
      <c r="I16">
        <v>39</v>
      </c>
      <c r="J16">
        <v>40.08</v>
      </c>
      <c r="K16">
        <v>67.599999999999994</v>
      </c>
      <c r="L16">
        <v>34.729999999999997</v>
      </c>
    </row>
    <row r="17" spans="1:12" x14ac:dyDescent="0.25">
      <c r="A17">
        <v>16</v>
      </c>
      <c r="B17" t="s">
        <v>27</v>
      </c>
      <c r="C17">
        <v>38</v>
      </c>
      <c r="D17">
        <v>9</v>
      </c>
      <c r="E17">
        <v>11</v>
      </c>
      <c r="F17">
        <v>18</v>
      </c>
      <c r="G17">
        <v>38</v>
      </c>
      <c r="H17">
        <v>68</v>
      </c>
      <c r="I17">
        <v>38</v>
      </c>
      <c r="J17">
        <v>39.57</v>
      </c>
      <c r="K17">
        <v>68.459999999999994</v>
      </c>
      <c r="L17">
        <v>35.049999999999997</v>
      </c>
    </row>
    <row r="18" spans="1:12" x14ac:dyDescent="0.25">
      <c r="A18">
        <v>17</v>
      </c>
      <c r="B18" t="s">
        <v>23</v>
      </c>
      <c r="C18">
        <v>38</v>
      </c>
      <c r="D18">
        <v>8</v>
      </c>
      <c r="E18">
        <v>12</v>
      </c>
      <c r="F18">
        <v>18</v>
      </c>
      <c r="G18">
        <v>34</v>
      </c>
      <c r="H18">
        <v>57</v>
      </c>
      <c r="I18">
        <v>36</v>
      </c>
      <c r="J18">
        <v>48.65</v>
      </c>
      <c r="K18">
        <v>68.58</v>
      </c>
      <c r="L18">
        <v>40.71</v>
      </c>
    </row>
    <row r="19" spans="1:12" x14ac:dyDescent="0.25">
      <c r="A19">
        <v>18</v>
      </c>
      <c r="B19" t="s">
        <v>32</v>
      </c>
      <c r="C19">
        <v>38</v>
      </c>
      <c r="D19">
        <v>9</v>
      </c>
      <c r="E19">
        <v>7</v>
      </c>
      <c r="F19">
        <v>22</v>
      </c>
      <c r="G19">
        <v>51</v>
      </c>
      <c r="H19">
        <v>68</v>
      </c>
      <c r="I19">
        <v>34</v>
      </c>
      <c r="J19">
        <v>48.99</v>
      </c>
      <c r="K19">
        <v>59.79</v>
      </c>
      <c r="L19">
        <v>45.07</v>
      </c>
    </row>
    <row r="20" spans="1:12" x14ac:dyDescent="0.25">
      <c r="A20">
        <v>19</v>
      </c>
      <c r="B20" t="s">
        <v>33</v>
      </c>
      <c r="C20">
        <v>38</v>
      </c>
      <c r="D20">
        <v>7</v>
      </c>
      <c r="E20">
        <v>10</v>
      </c>
      <c r="F20">
        <v>21</v>
      </c>
      <c r="G20">
        <v>48</v>
      </c>
      <c r="H20">
        <v>78</v>
      </c>
      <c r="I20">
        <v>31</v>
      </c>
      <c r="J20">
        <v>47.8</v>
      </c>
      <c r="K20">
        <v>69.58</v>
      </c>
      <c r="L20">
        <v>40.58</v>
      </c>
    </row>
    <row r="21" spans="1:12" x14ac:dyDescent="0.25">
      <c r="A21">
        <v>20</v>
      </c>
      <c r="B21" t="s">
        <v>34</v>
      </c>
      <c r="C21">
        <v>38</v>
      </c>
      <c r="D21">
        <v>6</v>
      </c>
      <c r="E21">
        <v>7</v>
      </c>
      <c r="F21">
        <v>25</v>
      </c>
      <c r="G21">
        <v>36</v>
      </c>
      <c r="H21">
        <v>73</v>
      </c>
      <c r="I21">
        <v>25</v>
      </c>
      <c r="J21">
        <v>39.270000000000003</v>
      </c>
      <c r="K21">
        <v>62.9</v>
      </c>
      <c r="L21">
        <v>36.47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selection activeCell="L21" sqref="L21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14</v>
      </c>
      <c r="C2">
        <v>5</v>
      </c>
      <c r="D2">
        <v>5</v>
      </c>
      <c r="E2">
        <v>0</v>
      </c>
      <c r="F2">
        <v>0</v>
      </c>
      <c r="G2">
        <v>14</v>
      </c>
      <c r="H2">
        <v>3</v>
      </c>
      <c r="I2">
        <v>15</v>
      </c>
      <c r="J2">
        <v>13.63</v>
      </c>
      <c r="K2">
        <v>3.69</v>
      </c>
      <c r="L2">
        <v>12.65</v>
      </c>
    </row>
    <row r="3" spans="1:12" x14ac:dyDescent="0.25">
      <c r="A3">
        <v>2</v>
      </c>
      <c r="B3" t="s">
        <v>16</v>
      </c>
      <c r="C3">
        <v>5</v>
      </c>
      <c r="D3">
        <v>4</v>
      </c>
      <c r="E3">
        <v>1</v>
      </c>
      <c r="F3">
        <v>0</v>
      </c>
      <c r="G3">
        <v>13</v>
      </c>
      <c r="H3">
        <v>5</v>
      </c>
      <c r="I3">
        <v>13</v>
      </c>
      <c r="J3">
        <v>10.81</v>
      </c>
      <c r="K3">
        <v>7.29</v>
      </c>
      <c r="L3">
        <v>9.2899999999999991</v>
      </c>
    </row>
    <row r="4" spans="1:12" x14ac:dyDescent="0.25">
      <c r="A4">
        <v>3</v>
      </c>
      <c r="B4" t="s">
        <v>12</v>
      </c>
      <c r="C4">
        <v>5</v>
      </c>
      <c r="D4">
        <v>4</v>
      </c>
      <c r="E4">
        <v>1</v>
      </c>
      <c r="F4">
        <v>0</v>
      </c>
      <c r="G4">
        <v>12</v>
      </c>
      <c r="H4">
        <v>4</v>
      </c>
      <c r="I4">
        <v>13</v>
      </c>
      <c r="J4">
        <v>10.97</v>
      </c>
      <c r="K4">
        <v>6.09</v>
      </c>
      <c r="L4">
        <v>9.76</v>
      </c>
    </row>
    <row r="5" spans="1:12" x14ac:dyDescent="0.25">
      <c r="A5">
        <v>4</v>
      </c>
      <c r="B5" t="s">
        <v>15</v>
      </c>
      <c r="C5">
        <v>5</v>
      </c>
      <c r="D5">
        <v>4</v>
      </c>
      <c r="E5">
        <v>1</v>
      </c>
      <c r="F5">
        <v>0</v>
      </c>
      <c r="G5">
        <v>9</v>
      </c>
      <c r="H5">
        <v>4</v>
      </c>
      <c r="I5">
        <v>13</v>
      </c>
      <c r="J5">
        <v>8.99</v>
      </c>
      <c r="K5">
        <v>4.13</v>
      </c>
      <c r="L5">
        <v>10.11</v>
      </c>
    </row>
    <row r="6" spans="1:12" x14ac:dyDescent="0.25">
      <c r="A6">
        <v>5</v>
      </c>
      <c r="B6" t="s">
        <v>18</v>
      </c>
      <c r="C6">
        <v>5</v>
      </c>
      <c r="D6">
        <v>4</v>
      </c>
      <c r="E6">
        <v>0</v>
      </c>
      <c r="F6">
        <v>1</v>
      </c>
      <c r="G6">
        <v>15</v>
      </c>
      <c r="H6">
        <v>7</v>
      </c>
      <c r="I6">
        <v>12</v>
      </c>
      <c r="J6">
        <v>12.16</v>
      </c>
      <c r="K6">
        <v>9.15</v>
      </c>
      <c r="L6">
        <v>8.8800000000000008</v>
      </c>
    </row>
    <row r="7" spans="1:12" x14ac:dyDescent="0.25">
      <c r="A7">
        <v>6</v>
      </c>
      <c r="B7" t="s">
        <v>17</v>
      </c>
      <c r="C7">
        <v>5</v>
      </c>
      <c r="D7">
        <v>3</v>
      </c>
      <c r="E7">
        <v>1</v>
      </c>
      <c r="F7">
        <v>1</v>
      </c>
      <c r="G7">
        <v>10</v>
      </c>
      <c r="H7">
        <v>7</v>
      </c>
      <c r="I7">
        <v>10</v>
      </c>
      <c r="J7">
        <v>8.27</v>
      </c>
      <c r="K7">
        <v>10.67</v>
      </c>
      <c r="L7">
        <v>6.03</v>
      </c>
    </row>
    <row r="8" spans="1:12" x14ac:dyDescent="0.25">
      <c r="A8">
        <v>7</v>
      </c>
      <c r="B8" t="s">
        <v>13</v>
      </c>
      <c r="C8">
        <v>5</v>
      </c>
      <c r="D8">
        <v>3</v>
      </c>
      <c r="E8">
        <v>0</v>
      </c>
      <c r="F8">
        <v>2</v>
      </c>
      <c r="G8">
        <v>11</v>
      </c>
      <c r="H8">
        <v>10</v>
      </c>
      <c r="I8">
        <v>9</v>
      </c>
      <c r="J8">
        <v>10.5</v>
      </c>
      <c r="K8">
        <v>9.52</v>
      </c>
      <c r="L8">
        <v>8.2100000000000009</v>
      </c>
    </row>
    <row r="9" spans="1:12" x14ac:dyDescent="0.25">
      <c r="A9">
        <v>8</v>
      </c>
      <c r="B9" t="s">
        <v>27</v>
      </c>
      <c r="C9">
        <v>5</v>
      </c>
      <c r="D9">
        <v>2</v>
      </c>
      <c r="E9">
        <v>1</v>
      </c>
      <c r="F9">
        <v>2</v>
      </c>
      <c r="G9">
        <v>7</v>
      </c>
      <c r="H9">
        <v>7</v>
      </c>
      <c r="I9">
        <v>7</v>
      </c>
      <c r="J9">
        <v>5.15</v>
      </c>
      <c r="K9">
        <v>7.51</v>
      </c>
      <c r="L9">
        <v>5.54</v>
      </c>
    </row>
    <row r="10" spans="1:12" x14ac:dyDescent="0.25">
      <c r="A10">
        <v>9</v>
      </c>
      <c r="B10" t="s">
        <v>26</v>
      </c>
      <c r="C10">
        <v>5</v>
      </c>
      <c r="D10">
        <v>2</v>
      </c>
      <c r="E10">
        <v>1</v>
      </c>
      <c r="F10">
        <v>2</v>
      </c>
      <c r="G10">
        <v>6</v>
      </c>
      <c r="H10">
        <v>7</v>
      </c>
      <c r="I10">
        <v>7</v>
      </c>
      <c r="J10">
        <v>7.85</v>
      </c>
      <c r="K10">
        <v>7.03</v>
      </c>
      <c r="L10">
        <v>7.44</v>
      </c>
    </row>
    <row r="11" spans="1:12" x14ac:dyDescent="0.25">
      <c r="A11">
        <v>10</v>
      </c>
      <c r="B11" t="s">
        <v>25</v>
      </c>
      <c r="C11">
        <v>5</v>
      </c>
      <c r="D11">
        <v>2</v>
      </c>
      <c r="E11">
        <v>1</v>
      </c>
      <c r="F11">
        <v>2</v>
      </c>
      <c r="G11">
        <v>5</v>
      </c>
      <c r="H11">
        <v>10</v>
      </c>
      <c r="I11">
        <v>7</v>
      </c>
      <c r="J11">
        <v>6.05</v>
      </c>
      <c r="K11">
        <v>12.75</v>
      </c>
      <c r="L11">
        <v>3.3</v>
      </c>
    </row>
    <row r="12" spans="1:12" x14ac:dyDescent="0.25">
      <c r="A12">
        <v>11</v>
      </c>
      <c r="B12" t="s">
        <v>28</v>
      </c>
      <c r="C12">
        <v>5</v>
      </c>
      <c r="D12">
        <v>1</v>
      </c>
      <c r="E12">
        <v>3</v>
      </c>
      <c r="F12">
        <v>1</v>
      </c>
      <c r="G12">
        <v>8</v>
      </c>
      <c r="H12">
        <v>6</v>
      </c>
      <c r="I12">
        <v>6</v>
      </c>
      <c r="J12">
        <v>10.029999999999999</v>
      </c>
      <c r="K12">
        <v>6.53</v>
      </c>
      <c r="L12">
        <v>8.51</v>
      </c>
    </row>
    <row r="13" spans="1:12" x14ac:dyDescent="0.25">
      <c r="A13">
        <v>12</v>
      </c>
      <c r="B13" t="s">
        <v>20</v>
      </c>
      <c r="C13">
        <v>5</v>
      </c>
      <c r="D13">
        <v>2</v>
      </c>
      <c r="E13">
        <v>0</v>
      </c>
      <c r="F13">
        <v>3</v>
      </c>
      <c r="G13">
        <v>8</v>
      </c>
      <c r="H13">
        <v>7</v>
      </c>
      <c r="I13">
        <v>6</v>
      </c>
      <c r="J13">
        <v>8.61</v>
      </c>
      <c r="K13">
        <v>5.52</v>
      </c>
      <c r="L13">
        <v>8.35</v>
      </c>
    </row>
    <row r="14" spans="1:12" x14ac:dyDescent="0.25">
      <c r="A14">
        <v>13</v>
      </c>
      <c r="B14" t="s">
        <v>19</v>
      </c>
      <c r="C14">
        <v>5</v>
      </c>
      <c r="D14">
        <v>2</v>
      </c>
      <c r="E14">
        <v>0</v>
      </c>
      <c r="F14">
        <v>3</v>
      </c>
      <c r="G14">
        <v>6</v>
      </c>
      <c r="H14">
        <v>10</v>
      </c>
      <c r="I14">
        <v>6</v>
      </c>
      <c r="J14">
        <v>9.1300000000000008</v>
      </c>
      <c r="K14">
        <v>9.07</v>
      </c>
      <c r="L14">
        <v>6.74</v>
      </c>
    </row>
    <row r="15" spans="1:12" x14ac:dyDescent="0.25">
      <c r="A15">
        <v>14</v>
      </c>
      <c r="B15" t="s">
        <v>21</v>
      </c>
      <c r="C15">
        <v>5</v>
      </c>
      <c r="D15">
        <v>1</v>
      </c>
      <c r="E15">
        <v>2</v>
      </c>
      <c r="F15">
        <v>2</v>
      </c>
      <c r="G15">
        <v>5</v>
      </c>
      <c r="H15">
        <v>5</v>
      </c>
      <c r="I15">
        <v>5</v>
      </c>
      <c r="J15">
        <v>10.64</v>
      </c>
      <c r="K15">
        <v>5.95</v>
      </c>
      <c r="L15">
        <v>9.5500000000000007</v>
      </c>
    </row>
    <row r="16" spans="1:12" x14ac:dyDescent="0.25">
      <c r="A16">
        <v>15</v>
      </c>
      <c r="B16" t="s">
        <v>24</v>
      </c>
      <c r="C16">
        <v>5</v>
      </c>
      <c r="D16">
        <v>0</v>
      </c>
      <c r="E16">
        <v>3</v>
      </c>
      <c r="F16">
        <v>2</v>
      </c>
      <c r="G16">
        <v>4</v>
      </c>
      <c r="H16">
        <v>8</v>
      </c>
      <c r="I16">
        <v>3</v>
      </c>
      <c r="J16">
        <v>6.82</v>
      </c>
      <c r="K16">
        <v>11.47</v>
      </c>
      <c r="L16">
        <v>4.09</v>
      </c>
    </row>
    <row r="17" spans="1:12" x14ac:dyDescent="0.25">
      <c r="A17">
        <v>16</v>
      </c>
      <c r="B17" t="s">
        <v>22</v>
      </c>
      <c r="C17">
        <v>5</v>
      </c>
      <c r="D17">
        <v>1</v>
      </c>
      <c r="E17">
        <v>0</v>
      </c>
      <c r="F17">
        <v>4</v>
      </c>
      <c r="G17">
        <v>5</v>
      </c>
      <c r="H17">
        <v>11</v>
      </c>
      <c r="I17">
        <v>3</v>
      </c>
      <c r="J17">
        <v>7.49</v>
      </c>
      <c r="K17">
        <v>12.18</v>
      </c>
      <c r="L17">
        <v>4.01</v>
      </c>
    </row>
    <row r="18" spans="1:12" x14ac:dyDescent="0.25">
      <c r="A18">
        <v>17</v>
      </c>
      <c r="B18" t="s">
        <v>31</v>
      </c>
      <c r="C18">
        <v>5</v>
      </c>
      <c r="D18">
        <v>0</v>
      </c>
      <c r="E18">
        <v>1</v>
      </c>
      <c r="F18">
        <v>4</v>
      </c>
      <c r="G18">
        <v>5</v>
      </c>
      <c r="H18">
        <v>9</v>
      </c>
      <c r="I18">
        <v>1</v>
      </c>
      <c r="J18">
        <v>4.0999999999999996</v>
      </c>
      <c r="K18">
        <v>12.39</v>
      </c>
      <c r="L18">
        <v>2.0299999999999998</v>
      </c>
    </row>
    <row r="19" spans="1:12" x14ac:dyDescent="0.25">
      <c r="A19">
        <v>18</v>
      </c>
      <c r="B19" t="s">
        <v>23</v>
      </c>
      <c r="C19">
        <v>5</v>
      </c>
      <c r="D19">
        <v>0</v>
      </c>
      <c r="E19">
        <v>1</v>
      </c>
      <c r="F19">
        <v>4</v>
      </c>
      <c r="G19">
        <v>2</v>
      </c>
      <c r="H19">
        <v>9</v>
      </c>
      <c r="I19">
        <v>1</v>
      </c>
      <c r="J19">
        <v>8.23</v>
      </c>
      <c r="K19">
        <v>8.6</v>
      </c>
      <c r="L19">
        <v>6.93</v>
      </c>
    </row>
    <row r="20" spans="1:12" x14ac:dyDescent="0.25">
      <c r="A20">
        <v>19</v>
      </c>
      <c r="B20" t="s">
        <v>30</v>
      </c>
      <c r="C20">
        <v>5</v>
      </c>
      <c r="D20">
        <v>0</v>
      </c>
      <c r="E20">
        <v>1</v>
      </c>
      <c r="F20">
        <v>4</v>
      </c>
      <c r="G20">
        <v>4</v>
      </c>
      <c r="H20">
        <v>13</v>
      </c>
      <c r="I20">
        <v>1</v>
      </c>
      <c r="J20">
        <v>4.3499999999999996</v>
      </c>
      <c r="K20">
        <v>9.18</v>
      </c>
      <c r="L20">
        <v>4.04</v>
      </c>
    </row>
    <row r="21" spans="1:12" x14ac:dyDescent="0.25">
      <c r="A21">
        <v>20</v>
      </c>
      <c r="B21" t="s">
        <v>29</v>
      </c>
      <c r="C21">
        <v>5</v>
      </c>
      <c r="D21">
        <v>0</v>
      </c>
      <c r="E21">
        <v>1</v>
      </c>
      <c r="F21">
        <v>4</v>
      </c>
      <c r="G21">
        <v>3</v>
      </c>
      <c r="H21">
        <v>11</v>
      </c>
      <c r="I21">
        <v>1</v>
      </c>
      <c r="J21">
        <v>8.07</v>
      </c>
      <c r="K21">
        <v>11.53</v>
      </c>
      <c r="L21">
        <v>5.89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>
      <selection sqref="A1:L21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16</v>
      </c>
      <c r="C2">
        <v>10</v>
      </c>
      <c r="D2">
        <v>8</v>
      </c>
      <c r="E2">
        <v>2</v>
      </c>
      <c r="F2">
        <v>0</v>
      </c>
      <c r="G2">
        <v>22</v>
      </c>
      <c r="H2">
        <v>9</v>
      </c>
      <c r="I2">
        <v>26</v>
      </c>
      <c r="J2">
        <v>20.21</v>
      </c>
      <c r="K2">
        <v>12.92</v>
      </c>
      <c r="L2">
        <v>19.02</v>
      </c>
    </row>
    <row r="3" spans="1:12" x14ac:dyDescent="0.25">
      <c r="A3">
        <v>2</v>
      </c>
      <c r="B3" t="s">
        <v>15</v>
      </c>
      <c r="C3">
        <v>10</v>
      </c>
      <c r="D3">
        <v>7</v>
      </c>
      <c r="E3">
        <v>3</v>
      </c>
      <c r="F3">
        <v>0</v>
      </c>
      <c r="G3">
        <v>23</v>
      </c>
      <c r="H3">
        <v>8</v>
      </c>
      <c r="I3">
        <v>24</v>
      </c>
      <c r="J3">
        <v>19.89</v>
      </c>
      <c r="K3">
        <v>9.6</v>
      </c>
      <c r="L3">
        <v>19.079999999999998</v>
      </c>
    </row>
    <row r="4" spans="1:12" x14ac:dyDescent="0.25">
      <c r="A4">
        <v>3</v>
      </c>
      <c r="B4" t="s">
        <v>14</v>
      </c>
      <c r="C4">
        <v>10</v>
      </c>
      <c r="D4">
        <v>8</v>
      </c>
      <c r="E4">
        <v>0</v>
      </c>
      <c r="F4">
        <v>2</v>
      </c>
      <c r="G4">
        <v>22</v>
      </c>
      <c r="H4">
        <v>7</v>
      </c>
      <c r="I4">
        <v>24</v>
      </c>
      <c r="J4">
        <v>22.31</v>
      </c>
      <c r="K4">
        <v>7.16</v>
      </c>
      <c r="L4">
        <v>22.27</v>
      </c>
    </row>
    <row r="5" spans="1:12" x14ac:dyDescent="0.25">
      <c r="A5">
        <v>4</v>
      </c>
      <c r="B5" t="s">
        <v>12</v>
      </c>
      <c r="C5">
        <v>10</v>
      </c>
      <c r="D5">
        <v>7</v>
      </c>
      <c r="E5">
        <v>2</v>
      </c>
      <c r="F5">
        <v>1</v>
      </c>
      <c r="G5">
        <v>23</v>
      </c>
      <c r="H5">
        <v>9</v>
      </c>
      <c r="I5">
        <v>23</v>
      </c>
      <c r="J5">
        <v>23.73</v>
      </c>
      <c r="K5">
        <v>12.79</v>
      </c>
      <c r="L5">
        <v>20.28</v>
      </c>
    </row>
    <row r="6" spans="1:12" x14ac:dyDescent="0.25">
      <c r="A6">
        <v>5</v>
      </c>
      <c r="B6" t="s">
        <v>13</v>
      </c>
      <c r="C6">
        <v>10</v>
      </c>
      <c r="D6">
        <v>7</v>
      </c>
      <c r="E6">
        <v>1</v>
      </c>
      <c r="F6">
        <v>2</v>
      </c>
      <c r="G6">
        <v>26</v>
      </c>
      <c r="H6">
        <v>14</v>
      </c>
      <c r="I6">
        <v>22</v>
      </c>
      <c r="J6">
        <v>20.77</v>
      </c>
      <c r="K6">
        <v>15.32</v>
      </c>
      <c r="L6">
        <v>17.809999999999999</v>
      </c>
    </row>
    <row r="7" spans="1:12" x14ac:dyDescent="0.25">
      <c r="A7">
        <v>6</v>
      </c>
      <c r="B7" t="s">
        <v>20</v>
      </c>
      <c r="C7">
        <v>10</v>
      </c>
      <c r="D7">
        <v>5</v>
      </c>
      <c r="E7">
        <v>2</v>
      </c>
      <c r="F7">
        <v>3</v>
      </c>
      <c r="G7">
        <v>26</v>
      </c>
      <c r="H7">
        <v>11</v>
      </c>
      <c r="I7">
        <v>17</v>
      </c>
      <c r="J7">
        <v>24.83</v>
      </c>
      <c r="K7">
        <v>9.7899999999999991</v>
      </c>
      <c r="L7">
        <v>21.61</v>
      </c>
    </row>
    <row r="8" spans="1:12" x14ac:dyDescent="0.25">
      <c r="A8">
        <v>7</v>
      </c>
      <c r="B8" t="s">
        <v>18</v>
      </c>
      <c r="C8">
        <v>10</v>
      </c>
      <c r="D8">
        <v>5</v>
      </c>
      <c r="E8">
        <v>2</v>
      </c>
      <c r="F8">
        <v>3</v>
      </c>
      <c r="G8">
        <v>23</v>
      </c>
      <c r="H8">
        <v>19</v>
      </c>
      <c r="I8">
        <v>17</v>
      </c>
      <c r="J8">
        <v>20.55</v>
      </c>
      <c r="K8">
        <v>16.670000000000002</v>
      </c>
      <c r="L8">
        <v>16.440000000000001</v>
      </c>
    </row>
    <row r="9" spans="1:12" x14ac:dyDescent="0.25">
      <c r="A9">
        <v>8</v>
      </c>
      <c r="B9" t="s">
        <v>19</v>
      </c>
      <c r="C9">
        <v>10</v>
      </c>
      <c r="D9">
        <v>5</v>
      </c>
      <c r="E9">
        <v>0</v>
      </c>
      <c r="F9">
        <v>5</v>
      </c>
      <c r="G9">
        <v>11</v>
      </c>
      <c r="H9">
        <v>16</v>
      </c>
      <c r="I9">
        <v>15</v>
      </c>
      <c r="J9">
        <v>15</v>
      </c>
      <c r="K9">
        <v>18.18</v>
      </c>
      <c r="L9">
        <v>12.58</v>
      </c>
    </row>
    <row r="10" spans="1:12" x14ac:dyDescent="0.25">
      <c r="A10">
        <v>9</v>
      </c>
      <c r="B10" t="s">
        <v>17</v>
      </c>
      <c r="C10">
        <v>10</v>
      </c>
      <c r="D10">
        <v>4</v>
      </c>
      <c r="E10">
        <v>2</v>
      </c>
      <c r="F10">
        <v>4</v>
      </c>
      <c r="G10">
        <v>16</v>
      </c>
      <c r="H10">
        <v>17</v>
      </c>
      <c r="I10">
        <v>14</v>
      </c>
      <c r="J10">
        <v>15.22</v>
      </c>
      <c r="K10">
        <v>20.78</v>
      </c>
      <c r="L10">
        <v>10.91</v>
      </c>
    </row>
    <row r="11" spans="1:12" x14ac:dyDescent="0.25">
      <c r="A11">
        <v>10</v>
      </c>
      <c r="B11" t="s">
        <v>28</v>
      </c>
      <c r="C11">
        <v>10</v>
      </c>
      <c r="D11">
        <v>3</v>
      </c>
      <c r="E11">
        <v>4</v>
      </c>
      <c r="F11">
        <v>3</v>
      </c>
      <c r="G11">
        <v>16</v>
      </c>
      <c r="H11">
        <v>12</v>
      </c>
      <c r="I11">
        <v>13</v>
      </c>
      <c r="J11">
        <v>20.03</v>
      </c>
      <c r="K11">
        <v>13.55</v>
      </c>
      <c r="L11">
        <v>17.190000000000001</v>
      </c>
    </row>
    <row r="12" spans="1:12" x14ac:dyDescent="0.25">
      <c r="A12">
        <v>11</v>
      </c>
      <c r="B12" t="s">
        <v>21</v>
      </c>
      <c r="C12">
        <v>10</v>
      </c>
      <c r="D12">
        <v>3</v>
      </c>
      <c r="E12">
        <v>3</v>
      </c>
      <c r="F12">
        <v>4</v>
      </c>
      <c r="G12">
        <v>13</v>
      </c>
      <c r="H12">
        <v>11</v>
      </c>
      <c r="I12">
        <v>12</v>
      </c>
      <c r="J12">
        <v>19.23</v>
      </c>
      <c r="K12">
        <v>12.47</v>
      </c>
      <c r="L12">
        <v>18.190000000000001</v>
      </c>
    </row>
    <row r="13" spans="1:12" x14ac:dyDescent="0.25">
      <c r="A13">
        <v>12</v>
      </c>
      <c r="B13" t="s">
        <v>22</v>
      </c>
      <c r="C13">
        <v>10</v>
      </c>
      <c r="D13">
        <v>3</v>
      </c>
      <c r="E13">
        <v>3</v>
      </c>
      <c r="F13">
        <v>4</v>
      </c>
      <c r="G13">
        <v>13</v>
      </c>
      <c r="H13">
        <v>17</v>
      </c>
      <c r="I13">
        <v>12</v>
      </c>
      <c r="J13">
        <v>13.86</v>
      </c>
      <c r="K13">
        <v>20.56</v>
      </c>
      <c r="L13">
        <v>9.41</v>
      </c>
    </row>
    <row r="14" spans="1:12" x14ac:dyDescent="0.25">
      <c r="A14">
        <v>13</v>
      </c>
      <c r="B14" t="s">
        <v>26</v>
      </c>
      <c r="C14">
        <v>10</v>
      </c>
      <c r="D14">
        <v>3</v>
      </c>
      <c r="E14">
        <v>3</v>
      </c>
      <c r="F14">
        <v>4</v>
      </c>
      <c r="G14">
        <v>8</v>
      </c>
      <c r="H14">
        <v>13</v>
      </c>
      <c r="I14">
        <v>12</v>
      </c>
      <c r="J14">
        <v>12.05</v>
      </c>
      <c r="K14">
        <v>15.07</v>
      </c>
      <c r="L14">
        <v>11.8</v>
      </c>
    </row>
    <row r="15" spans="1:12" x14ac:dyDescent="0.25">
      <c r="A15">
        <v>14</v>
      </c>
      <c r="B15" t="s">
        <v>25</v>
      </c>
      <c r="C15">
        <v>10</v>
      </c>
      <c r="D15">
        <v>3</v>
      </c>
      <c r="E15">
        <v>3</v>
      </c>
      <c r="F15">
        <v>4</v>
      </c>
      <c r="G15">
        <v>9</v>
      </c>
      <c r="H15">
        <v>16</v>
      </c>
      <c r="I15">
        <v>12</v>
      </c>
      <c r="J15">
        <v>11.05</v>
      </c>
      <c r="K15">
        <v>18.309999999999999</v>
      </c>
      <c r="L15">
        <v>9.41</v>
      </c>
    </row>
    <row r="16" spans="1:12" x14ac:dyDescent="0.25">
      <c r="A16">
        <v>15</v>
      </c>
      <c r="B16" t="s">
        <v>23</v>
      </c>
      <c r="C16">
        <v>10</v>
      </c>
      <c r="D16">
        <v>3</v>
      </c>
      <c r="E16">
        <v>1</v>
      </c>
      <c r="F16">
        <v>6</v>
      </c>
      <c r="G16">
        <v>10</v>
      </c>
      <c r="H16">
        <v>14</v>
      </c>
      <c r="I16">
        <v>10</v>
      </c>
      <c r="J16">
        <v>18.39</v>
      </c>
      <c r="K16">
        <v>15.57</v>
      </c>
      <c r="L16">
        <v>15.85</v>
      </c>
    </row>
    <row r="17" spans="1:12" x14ac:dyDescent="0.25">
      <c r="A17">
        <v>16</v>
      </c>
      <c r="B17" t="s">
        <v>27</v>
      </c>
      <c r="C17">
        <v>10</v>
      </c>
      <c r="D17">
        <v>2</v>
      </c>
      <c r="E17">
        <v>4</v>
      </c>
      <c r="F17">
        <v>4</v>
      </c>
      <c r="G17">
        <v>10</v>
      </c>
      <c r="H17">
        <v>15</v>
      </c>
      <c r="I17">
        <v>10</v>
      </c>
      <c r="J17">
        <v>11.82</v>
      </c>
      <c r="K17">
        <v>15.79</v>
      </c>
      <c r="L17">
        <v>11.23</v>
      </c>
    </row>
    <row r="18" spans="1:12" x14ac:dyDescent="0.25">
      <c r="A18">
        <v>17</v>
      </c>
      <c r="B18" t="s">
        <v>24</v>
      </c>
      <c r="C18">
        <v>10</v>
      </c>
      <c r="D18">
        <v>1</v>
      </c>
      <c r="E18">
        <v>3</v>
      </c>
      <c r="F18">
        <v>6</v>
      </c>
      <c r="G18">
        <v>8</v>
      </c>
      <c r="H18">
        <v>21</v>
      </c>
      <c r="I18">
        <v>6</v>
      </c>
      <c r="J18">
        <v>12.15</v>
      </c>
      <c r="K18">
        <v>24.06</v>
      </c>
      <c r="L18">
        <v>7.25</v>
      </c>
    </row>
    <row r="19" spans="1:12" x14ac:dyDescent="0.25">
      <c r="A19">
        <v>18</v>
      </c>
      <c r="B19" t="s">
        <v>29</v>
      </c>
      <c r="C19">
        <v>10</v>
      </c>
      <c r="D19">
        <v>1</v>
      </c>
      <c r="E19">
        <v>2</v>
      </c>
      <c r="F19">
        <v>7</v>
      </c>
      <c r="G19">
        <v>9</v>
      </c>
      <c r="H19">
        <v>20</v>
      </c>
      <c r="I19">
        <v>5</v>
      </c>
      <c r="J19">
        <v>13.91</v>
      </c>
      <c r="K19">
        <v>24.83</v>
      </c>
      <c r="L19">
        <v>8.86</v>
      </c>
    </row>
    <row r="20" spans="1:12" x14ac:dyDescent="0.25">
      <c r="A20">
        <v>19</v>
      </c>
      <c r="B20" t="s">
        <v>30</v>
      </c>
      <c r="C20">
        <v>10</v>
      </c>
      <c r="D20">
        <v>1</v>
      </c>
      <c r="E20">
        <v>1</v>
      </c>
      <c r="F20">
        <v>8</v>
      </c>
      <c r="G20">
        <v>8</v>
      </c>
      <c r="H20">
        <v>25</v>
      </c>
      <c r="I20">
        <v>4</v>
      </c>
      <c r="J20">
        <v>8.6300000000000008</v>
      </c>
      <c r="K20">
        <v>20.03</v>
      </c>
      <c r="L20">
        <v>6.93</v>
      </c>
    </row>
    <row r="21" spans="1:12" x14ac:dyDescent="0.25">
      <c r="A21">
        <v>20</v>
      </c>
      <c r="B21" t="s">
        <v>31</v>
      </c>
      <c r="C21">
        <v>10</v>
      </c>
      <c r="D21">
        <v>0</v>
      </c>
      <c r="E21">
        <v>1</v>
      </c>
      <c r="F21">
        <v>9</v>
      </c>
      <c r="G21">
        <v>7</v>
      </c>
      <c r="H21">
        <v>29</v>
      </c>
      <c r="I21">
        <v>1</v>
      </c>
      <c r="J21">
        <v>7.28</v>
      </c>
      <c r="K21">
        <v>27.46</v>
      </c>
      <c r="L21">
        <v>3.76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workbookViewId="0">
      <selection sqref="A1:L21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15</v>
      </c>
      <c r="C2">
        <v>15</v>
      </c>
      <c r="D2">
        <v>11</v>
      </c>
      <c r="E2">
        <v>3</v>
      </c>
      <c r="F2">
        <v>1</v>
      </c>
      <c r="G2">
        <v>33</v>
      </c>
      <c r="H2">
        <v>14</v>
      </c>
      <c r="I2">
        <v>36</v>
      </c>
      <c r="J2">
        <v>30.77</v>
      </c>
      <c r="K2">
        <v>14.31</v>
      </c>
      <c r="L2">
        <v>29.49</v>
      </c>
    </row>
    <row r="3" spans="1:12" x14ac:dyDescent="0.25">
      <c r="A3">
        <v>2</v>
      </c>
      <c r="B3" t="s">
        <v>12</v>
      </c>
      <c r="C3">
        <v>15</v>
      </c>
      <c r="D3">
        <v>10</v>
      </c>
      <c r="E3">
        <v>4</v>
      </c>
      <c r="F3">
        <v>1</v>
      </c>
      <c r="G3">
        <v>34</v>
      </c>
      <c r="H3">
        <v>14</v>
      </c>
      <c r="I3">
        <v>34</v>
      </c>
      <c r="J3">
        <v>33.630000000000003</v>
      </c>
      <c r="K3">
        <v>19.72</v>
      </c>
      <c r="L3">
        <v>29.12</v>
      </c>
    </row>
    <row r="4" spans="1:12" x14ac:dyDescent="0.25">
      <c r="A4">
        <v>3</v>
      </c>
      <c r="B4" t="s">
        <v>13</v>
      </c>
      <c r="C4">
        <v>15</v>
      </c>
      <c r="D4">
        <v>10</v>
      </c>
      <c r="E4">
        <v>2</v>
      </c>
      <c r="F4">
        <v>3</v>
      </c>
      <c r="G4">
        <v>34</v>
      </c>
      <c r="H4">
        <v>20</v>
      </c>
      <c r="I4">
        <v>32</v>
      </c>
      <c r="J4">
        <v>30.45</v>
      </c>
      <c r="K4">
        <v>22.34</v>
      </c>
      <c r="L4">
        <v>26.74</v>
      </c>
    </row>
    <row r="5" spans="1:12" x14ac:dyDescent="0.25">
      <c r="A5">
        <v>4</v>
      </c>
      <c r="B5" t="s">
        <v>14</v>
      </c>
      <c r="C5">
        <v>15</v>
      </c>
      <c r="D5">
        <v>9</v>
      </c>
      <c r="E5">
        <v>3</v>
      </c>
      <c r="F5">
        <v>3</v>
      </c>
      <c r="G5">
        <v>36</v>
      </c>
      <c r="H5">
        <v>17</v>
      </c>
      <c r="I5">
        <v>30</v>
      </c>
      <c r="J5">
        <v>33.61</v>
      </c>
      <c r="K5">
        <v>14.67</v>
      </c>
      <c r="L5">
        <v>31.45</v>
      </c>
    </row>
    <row r="6" spans="1:12" x14ac:dyDescent="0.25">
      <c r="A6">
        <v>5</v>
      </c>
      <c r="B6" t="s">
        <v>16</v>
      </c>
      <c r="C6">
        <v>15</v>
      </c>
      <c r="D6">
        <v>8</v>
      </c>
      <c r="E6">
        <v>3</v>
      </c>
      <c r="F6">
        <v>4</v>
      </c>
      <c r="G6">
        <v>29</v>
      </c>
      <c r="H6">
        <v>22</v>
      </c>
      <c r="I6">
        <v>27</v>
      </c>
      <c r="J6">
        <v>25.88</v>
      </c>
      <c r="K6">
        <v>25.93</v>
      </c>
      <c r="L6">
        <v>22.04</v>
      </c>
    </row>
    <row r="7" spans="1:12" x14ac:dyDescent="0.25">
      <c r="A7">
        <v>6</v>
      </c>
      <c r="B7" t="s">
        <v>19</v>
      </c>
      <c r="C7">
        <v>15</v>
      </c>
      <c r="D7">
        <v>9</v>
      </c>
      <c r="E7">
        <v>0</v>
      </c>
      <c r="F7">
        <v>6</v>
      </c>
      <c r="G7">
        <v>18</v>
      </c>
      <c r="H7">
        <v>18</v>
      </c>
      <c r="I7">
        <v>27</v>
      </c>
      <c r="J7">
        <v>24.97</v>
      </c>
      <c r="K7">
        <v>27.52</v>
      </c>
      <c r="L7">
        <v>19.86</v>
      </c>
    </row>
    <row r="8" spans="1:12" x14ac:dyDescent="0.25">
      <c r="A8">
        <v>7</v>
      </c>
      <c r="B8" t="s">
        <v>20</v>
      </c>
      <c r="C8">
        <v>15</v>
      </c>
      <c r="D8">
        <v>8</v>
      </c>
      <c r="E8">
        <v>2</v>
      </c>
      <c r="F8">
        <v>5</v>
      </c>
      <c r="G8">
        <v>32</v>
      </c>
      <c r="H8">
        <v>17</v>
      </c>
      <c r="I8">
        <v>26</v>
      </c>
      <c r="J8">
        <v>32.61</v>
      </c>
      <c r="K8">
        <v>17.45</v>
      </c>
      <c r="L8">
        <v>29.24</v>
      </c>
    </row>
    <row r="9" spans="1:12" x14ac:dyDescent="0.25">
      <c r="A9">
        <v>8</v>
      </c>
      <c r="B9" t="s">
        <v>18</v>
      </c>
      <c r="C9">
        <v>15</v>
      </c>
      <c r="D9">
        <v>7</v>
      </c>
      <c r="E9">
        <v>4</v>
      </c>
      <c r="F9">
        <v>4</v>
      </c>
      <c r="G9">
        <v>32</v>
      </c>
      <c r="H9">
        <v>27</v>
      </c>
      <c r="I9">
        <v>25</v>
      </c>
      <c r="J9">
        <v>25.69</v>
      </c>
      <c r="K9">
        <v>23.25</v>
      </c>
      <c r="L9">
        <v>21.94</v>
      </c>
    </row>
    <row r="10" spans="1:12" x14ac:dyDescent="0.25">
      <c r="A10">
        <v>9</v>
      </c>
      <c r="B10" t="s">
        <v>17</v>
      </c>
      <c r="C10">
        <v>15</v>
      </c>
      <c r="D10">
        <v>7</v>
      </c>
      <c r="E10">
        <v>3</v>
      </c>
      <c r="F10">
        <v>5</v>
      </c>
      <c r="G10">
        <v>26</v>
      </c>
      <c r="H10">
        <v>25</v>
      </c>
      <c r="I10">
        <v>24</v>
      </c>
      <c r="J10">
        <v>23.29</v>
      </c>
      <c r="K10">
        <v>28.07</v>
      </c>
      <c r="L10">
        <v>18.28</v>
      </c>
    </row>
    <row r="11" spans="1:12" x14ac:dyDescent="0.25">
      <c r="A11">
        <v>10</v>
      </c>
      <c r="B11" t="s">
        <v>23</v>
      </c>
      <c r="C11">
        <v>15</v>
      </c>
      <c r="D11">
        <v>6</v>
      </c>
      <c r="E11">
        <v>2</v>
      </c>
      <c r="F11">
        <v>7</v>
      </c>
      <c r="G11">
        <v>18</v>
      </c>
      <c r="H11">
        <v>20</v>
      </c>
      <c r="I11">
        <v>20</v>
      </c>
      <c r="J11">
        <v>26.88</v>
      </c>
      <c r="K11">
        <v>21.95</v>
      </c>
      <c r="L11">
        <v>23.95</v>
      </c>
    </row>
    <row r="12" spans="1:12" x14ac:dyDescent="0.25">
      <c r="A12">
        <v>11</v>
      </c>
      <c r="B12" t="s">
        <v>21</v>
      </c>
      <c r="C12">
        <v>15</v>
      </c>
      <c r="D12">
        <v>5</v>
      </c>
      <c r="E12">
        <v>4</v>
      </c>
      <c r="F12">
        <v>6</v>
      </c>
      <c r="G12">
        <v>26</v>
      </c>
      <c r="H12">
        <v>24</v>
      </c>
      <c r="I12">
        <v>19</v>
      </c>
      <c r="J12">
        <v>31.74</v>
      </c>
      <c r="K12">
        <v>23.67</v>
      </c>
      <c r="L12">
        <v>25.85</v>
      </c>
    </row>
    <row r="13" spans="1:12" x14ac:dyDescent="0.25">
      <c r="A13">
        <v>12</v>
      </c>
      <c r="B13" t="s">
        <v>28</v>
      </c>
      <c r="C13">
        <v>15</v>
      </c>
      <c r="D13">
        <v>5</v>
      </c>
      <c r="E13">
        <v>4</v>
      </c>
      <c r="F13">
        <v>6</v>
      </c>
      <c r="G13">
        <v>23</v>
      </c>
      <c r="H13">
        <v>21</v>
      </c>
      <c r="I13">
        <v>19</v>
      </c>
      <c r="J13">
        <v>29.45</v>
      </c>
      <c r="K13">
        <v>20.46</v>
      </c>
      <c r="L13">
        <v>25.16</v>
      </c>
    </row>
    <row r="14" spans="1:12" x14ac:dyDescent="0.25">
      <c r="A14">
        <v>13</v>
      </c>
      <c r="B14" t="s">
        <v>25</v>
      </c>
      <c r="C14">
        <v>15</v>
      </c>
      <c r="D14">
        <v>5</v>
      </c>
      <c r="E14">
        <v>3</v>
      </c>
      <c r="F14">
        <v>7</v>
      </c>
      <c r="G14">
        <v>21</v>
      </c>
      <c r="H14">
        <v>26</v>
      </c>
      <c r="I14">
        <v>18</v>
      </c>
      <c r="J14">
        <v>19.98</v>
      </c>
      <c r="K14">
        <v>26.4</v>
      </c>
      <c r="L14">
        <v>16.97</v>
      </c>
    </row>
    <row r="15" spans="1:12" x14ac:dyDescent="0.25">
      <c r="A15">
        <v>14</v>
      </c>
      <c r="B15" t="s">
        <v>22</v>
      </c>
      <c r="C15">
        <v>15</v>
      </c>
      <c r="D15">
        <v>5</v>
      </c>
      <c r="E15">
        <v>3</v>
      </c>
      <c r="F15">
        <v>7</v>
      </c>
      <c r="G15">
        <v>20</v>
      </c>
      <c r="H15">
        <v>25</v>
      </c>
      <c r="I15">
        <v>18</v>
      </c>
      <c r="J15">
        <v>20.69</v>
      </c>
      <c r="K15">
        <v>28.67</v>
      </c>
      <c r="L15">
        <v>15.77</v>
      </c>
    </row>
    <row r="16" spans="1:12" x14ac:dyDescent="0.25">
      <c r="A16">
        <v>15</v>
      </c>
      <c r="B16" t="s">
        <v>26</v>
      </c>
      <c r="C16">
        <v>15</v>
      </c>
      <c r="D16">
        <v>4</v>
      </c>
      <c r="E16">
        <v>4</v>
      </c>
      <c r="F16">
        <v>7</v>
      </c>
      <c r="G16">
        <v>14</v>
      </c>
      <c r="H16">
        <v>21</v>
      </c>
      <c r="I16">
        <v>16</v>
      </c>
      <c r="J16">
        <v>19.46</v>
      </c>
      <c r="K16">
        <v>22.3</v>
      </c>
      <c r="L16">
        <v>18.7</v>
      </c>
    </row>
    <row r="17" spans="1:12" x14ac:dyDescent="0.25">
      <c r="A17">
        <v>16</v>
      </c>
      <c r="B17" t="s">
        <v>24</v>
      </c>
      <c r="C17">
        <v>15</v>
      </c>
      <c r="D17">
        <v>4</v>
      </c>
      <c r="E17">
        <v>4</v>
      </c>
      <c r="F17">
        <v>7</v>
      </c>
      <c r="G17">
        <v>18</v>
      </c>
      <c r="H17">
        <v>30</v>
      </c>
      <c r="I17">
        <v>16</v>
      </c>
      <c r="J17">
        <v>23.07</v>
      </c>
      <c r="K17">
        <v>29.74</v>
      </c>
      <c r="L17">
        <v>17.47</v>
      </c>
    </row>
    <row r="18" spans="1:12" x14ac:dyDescent="0.25">
      <c r="A18">
        <v>17</v>
      </c>
      <c r="B18" t="s">
        <v>27</v>
      </c>
      <c r="C18">
        <v>15</v>
      </c>
      <c r="D18">
        <v>3</v>
      </c>
      <c r="E18">
        <v>4</v>
      </c>
      <c r="F18">
        <v>8</v>
      </c>
      <c r="G18">
        <v>16</v>
      </c>
      <c r="H18">
        <v>27</v>
      </c>
      <c r="I18">
        <v>13</v>
      </c>
      <c r="J18">
        <v>16.95</v>
      </c>
      <c r="K18">
        <v>24.13</v>
      </c>
      <c r="L18">
        <v>16.39</v>
      </c>
    </row>
    <row r="19" spans="1:12" x14ac:dyDescent="0.25">
      <c r="A19">
        <v>18</v>
      </c>
      <c r="B19" t="s">
        <v>29</v>
      </c>
      <c r="C19">
        <v>15</v>
      </c>
      <c r="D19">
        <v>2</v>
      </c>
      <c r="E19">
        <v>3</v>
      </c>
      <c r="F19">
        <v>10</v>
      </c>
      <c r="G19">
        <v>16</v>
      </c>
      <c r="H19">
        <v>30</v>
      </c>
      <c r="I19">
        <v>9</v>
      </c>
      <c r="J19">
        <v>17.41</v>
      </c>
      <c r="K19">
        <v>38.299999999999997</v>
      </c>
      <c r="L19">
        <v>10.3</v>
      </c>
    </row>
    <row r="20" spans="1:12" x14ac:dyDescent="0.25">
      <c r="A20">
        <v>19</v>
      </c>
      <c r="B20" t="s">
        <v>30</v>
      </c>
      <c r="C20">
        <v>15</v>
      </c>
      <c r="D20">
        <v>2</v>
      </c>
      <c r="E20">
        <v>1</v>
      </c>
      <c r="F20">
        <v>12</v>
      </c>
      <c r="G20">
        <v>15</v>
      </c>
      <c r="H20">
        <v>33</v>
      </c>
      <c r="I20">
        <v>7</v>
      </c>
      <c r="J20">
        <v>15.28</v>
      </c>
      <c r="K20">
        <v>27.21</v>
      </c>
      <c r="L20">
        <v>13.45</v>
      </c>
    </row>
    <row r="21" spans="1:12" x14ac:dyDescent="0.25">
      <c r="A21">
        <v>20</v>
      </c>
      <c r="B21" t="s">
        <v>31</v>
      </c>
      <c r="C21">
        <v>15</v>
      </c>
      <c r="D21">
        <v>1</v>
      </c>
      <c r="E21">
        <v>2</v>
      </c>
      <c r="F21">
        <v>12</v>
      </c>
      <c r="G21">
        <v>11</v>
      </c>
      <c r="H21">
        <v>41</v>
      </c>
      <c r="I21">
        <v>5</v>
      </c>
      <c r="J21">
        <v>11.5</v>
      </c>
      <c r="K21">
        <v>37.24</v>
      </c>
      <c r="L21">
        <v>7.24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workbookViewId="0">
      <selection activeCell="M15" sqref="M15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20</v>
      </c>
      <c r="D2">
        <v>13</v>
      </c>
      <c r="E2">
        <v>6</v>
      </c>
      <c r="F2">
        <v>1</v>
      </c>
      <c r="G2">
        <v>43</v>
      </c>
      <c r="H2">
        <v>18</v>
      </c>
      <c r="I2">
        <v>45</v>
      </c>
      <c r="J2">
        <v>46.31</v>
      </c>
      <c r="K2">
        <v>24.88</v>
      </c>
      <c r="L2">
        <v>38.79</v>
      </c>
    </row>
    <row r="3" spans="1:12" x14ac:dyDescent="0.25">
      <c r="A3">
        <v>2</v>
      </c>
      <c r="B3" t="s">
        <v>13</v>
      </c>
      <c r="C3">
        <v>20</v>
      </c>
      <c r="D3">
        <v>13</v>
      </c>
      <c r="E3">
        <v>3</v>
      </c>
      <c r="F3">
        <v>4</v>
      </c>
      <c r="G3">
        <v>43</v>
      </c>
      <c r="H3">
        <v>27</v>
      </c>
      <c r="I3">
        <v>42</v>
      </c>
      <c r="J3">
        <v>38.53</v>
      </c>
      <c r="K3">
        <v>27.82</v>
      </c>
      <c r="L3">
        <v>35.42</v>
      </c>
    </row>
    <row r="4" spans="1:12" x14ac:dyDescent="0.25">
      <c r="A4">
        <v>3</v>
      </c>
      <c r="B4" t="s">
        <v>14</v>
      </c>
      <c r="C4">
        <v>20</v>
      </c>
      <c r="D4">
        <v>13</v>
      </c>
      <c r="E4">
        <v>4</v>
      </c>
      <c r="F4">
        <v>3</v>
      </c>
      <c r="G4">
        <v>48</v>
      </c>
      <c r="H4">
        <v>23</v>
      </c>
      <c r="I4">
        <v>43</v>
      </c>
      <c r="J4">
        <v>45.34</v>
      </c>
      <c r="K4">
        <v>19.739999999999998</v>
      </c>
      <c r="L4">
        <v>43.09</v>
      </c>
    </row>
    <row r="5" spans="1:12" x14ac:dyDescent="0.25">
      <c r="A5">
        <v>4</v>
      </c>
      <c r="B5" t="s">
        <v>15</v>
      </c>
      <c r="C5">
        <v>20</v>
      </c>
      <c r="D5">
        <v>12</v>
      </c>
      <c r="E5">
        <v>4</v>
      </c>
      <c r="F5">
        <v>4</v>
      </c>
      <c r="G5">
        <v>37</v>
      </c>
      <c r="H5">
        <v>20</v>
      </c>
      <c r="I5">
        <v>40</v>
      </c>
      <c r="J5">
        <v>40.56</v>
      </c>
      <c r="K5">
        <v>19.71</v>
      </c>
      <c r="L5">
        <v>39.24</v>
      </c>
    </row>
    <row r="6" spans="1:12" x14ac:dyDescent="0.25">
      <c r="A6">
        <v>5</v>
      </c>
      <c r="B6" t="s">
        <v>16</v>
      </c>
      <c r="C6">
        <v>20</v>
      </c>
      <c r="D6">
        <v>12</v>
      </c>
      <c r="E6">
        <v>3</v>
      </c>
      <c r="F6">
        <v>5</v>
      </c>
      <c r="G6">
        <v>42</v>
      </c>
      <c r="H6">
        <v>29</v>
      </c>
      <c r="I6">
        <v>39</v>
      </c>
      <c r="J6">
        <v>37.68</v>
      </c>
      <c r="K6">
        <v>36.659999999999997</v>
      </c>
      <c r="L6">
        <v>29.43</v>
      </c>
    </row>
    <row r="7" spans="1:12" x14ac:dyDescent="0.25">
      <c r="A7">
        <v>6</v>
      </c>
      <c r="B7" t="s">
        <v>17</v>
      </c>
      <c r="C7">
        <v>20</v>
      </c>
      <c r="D7">
        <v>10</v>
      </c>
      <c r="E7">
        <v>4</v>
      </c>
      <c r="F7">
        <v>6</v>
      </c>
      <c r="G7">
        <v>33</v>
      </c>
      <c r="H7">
        <v>30</v>
      </c>
      <c r="I7">
        <v>34</v>
      </c>
      <c r="J7">
        <v>29.41</v>
      </c>
      <c r="K7">
        <v>36.49</v>
      </c>
      <c r="L7">
        <v>23.88</v>
      </c>
    </row>
    <row r="8" spans="1:12" x14ac:dyDescent="0.25">
      <c r="A8">
        <v>7</v>
      </c>
      <c r="B8" t="s">
        <v>18</v>
      </c>
      <c r="C8">
        <v>20</v>
      </c>
      <c r="D8">
        <v>8</v>
      </c>
      <c r="E8">
        <v>7</v>
      </c>
      <c r="F8">
        <v>5</v>
      </c>
      <c r="G8">
        <v>38</v>
      </c>
      <c r="H8">
        <v>33</v>
      </c>
      <c r="I8">
        <v>31</v>
      </c>
      <c r="J8">
        <v>36.65</v>
      </c>
      <c r="K8">
        <v>31.77</v>
      </c>
      <c r="L8">
        <v>30.5</v>
      </c>
    </row>
    <row r="9" spans="1:12" x14ac:dyDescent="0.25">
      <c r="A9">
        <v>8</v>
      </c>
      <c r="B9" t="s">
        <v>19</v>
      </c>
      <c r="C9">
        <v>20</v>
      </c>
      <c r="D9">
        <v>10</v>
      </c>
      <c r="E9">
        <v>1</v>
      </c>
      <c r="F9">
        <v>9</v>
      </c>
      <c r="G9">
        <v>22</v>
      </c>
      <c r="H9">
        <v>27</v>
      </c>
      <c r="I9">
        <v>31</v>
      </c>
      <c r="J9">
        <v>29.3</v>
      </c>
      <c r="K9">
        <v>35.56</v>
      </c>
      <c r="L9">
        <v>23.78</v>
      </c>
    </row>
    <row r="10" spans="1:12" x14ac:dyDescent="0.25">
      <c r="A10">
        <v>9</v>
      </c>
      <c r="B10" t="s">
        <v>20</v>
      </c>
      <c r="C10">
        <v>20</v>
      </c>
      <c r="D10">
        <v>9</v>
      </c>
      <c r="E10">
        <v>2</v>
      </c>
      <c r="F10">
        <v>9</v>
      </c>
      <c r="G10">
        <v>39</v>
      </c>
      <c r="H10">
        <v>29</v>
      </c>
      <c r="I10">
        <v>29</v>
      </c>
      <c r="J10">
        <v>43.62</v>
      </c>
      <c r="K10">
        <v>33.92</v>
      </c>
      <c r="L10">
        <v>34.590000000000003</v>
      </c>
    </row>
    <row r="11" spans="1:12" x14ac:dyDescent="0.25">
      <c r="A11">
        <v>10</v>
      </c>
      <c r="B11" t="s">
        <v>21</v>
      </c>
      <c r="C11">
        <v>20</v>
      </c>
      <c r="D11">
        <v>8</v>
      </c>
      <c r="E11">
        <v>4</v>
      </c>
      <c r="F11">
        <v>8</v>
      </c>
      <c r="G11">
        <v>34</v>
      </c>
      <c r="H11">
        <v>31</v>
      </c>
      <c r="I11">
        <v>28</v>
      </c>
      <c r="J11">
        <v>41.96</v>
      </c>
      <c r="K11">
        <v>30.57</v>
      </c>
      <c r="L11">
        <v>34.39</v>
      </c>
    </row>
    <row r="12" spans="1:12" x14ac:dyDescent="0.25">
      <c r="A12">
        <v>11</v>
      </c>
      <c r="B12" t="s">
        <v>22</v>
      </c>
      <c r="C12">
        <v>20</v>
      </c>
      <c r="D12">
        <v>8</v>
      </c>
      <c r="E12">
        <v>4</v>
      </c>
      <c r="F12">
        <v>8</v>
      </c>
      <c r="G12">
        <v>30</v>
      </c>
      <c r="H12">
        <v>31</v>
      </c>
      <c r="I12">
        <v>28</v>
      </c>
      <c r="J12">
        <v>28.56</v>
      </c>
      <c r="K12">
        <v>35.79</v>
      </c>
      <c r="L12">
        <v>22.88</v>
      </c>
    </row>
    <row r="13" spans="1:12" x14ac:dyDescent="0.25">
      <c r="A13">
        <v>12</v>
      </c>
      <c r="B13" t="s">
        <v>23</v>
      </c>
      <c r="C13">
        <v>20</v>
      </c>
      <c r="D13">
        <v>8</v>
      </c>
      <c r="E13">
        <v>2</v>
      </c>
      <c r="F13">
        <v>10</v>
      </c>
      <c r="G13">
        <v>24</v>
      </c>
      <c r="H13">
        <v>28</v>
      </c>
      <c r="I13">
        <v>26</v>
      </c>
      <c r="J13">
        <v>33.950000000000003</v>
      </c>
      <c r="K13">
        <v>30.15</v>
      </c>
      <c r="L13">
        <v>30.4</v>
      </c>
    </row>
    <row r="14" spans="1:12" x14ac:dyDescent="0.25">
      <c r="A14">
        <v>13</v>
      </c>
      <c r="B14" t="s">
        <v>24</v>
      </c>
      <c r="C14">
        <v>20</v>
      </c>
      <c r="D14">
        <v>7</v>
      </c>
      <c r="E14">
        <v>4</v>
      </c>
      <c r="F14">
        <v>9</v>
      </c>
      <c r="G14">
        <v>28</v>
      </c>
      <c r="H14">
        <v>39</v>
      </c>
      <c r="I14">
        <v>25</v>
      </c>
      <c r="J14">
        <v>31.43</v>
      </c>
      <c r="K14">
        <v>35.65</v>
      </c>
      <c r="L14">
        <v>26.2</v>
      </c>
    </row>
    <row r="15" spans="1:12" x14ac:dyDescent="0.25">
      <c r="A15">
        <v>14</v>
      </c>
      <c r="B15" t="s">
        <v>25</v>
      </c>
      <c r="C15">
        <v>20</v>
      </c>
      <c r="D15">
        <v>7</v>
      </c>
      <c r="E15">
        <v>3</v>
      </c>
      <c r="F15">
        <v>10</v>
      </c>
      <c r="G15">
        <v>28</v>
      </c>
      <c r="H15">
        <v>35</v>
      </c>
      <c r="I15">
        <v>24</v>
      </c>
      <c r="J15">
        <v>25.87</v>
      </c>
      <c r="K15">
        <v>35.81</v>
      </c>
      <c r="L15">
        <v>22.85</v>
      </c>
    </row>
    <row r="16" spans="1:12" x14ac:dyDescent="0.25">
      <c r="A16">
        <v>15</v>
      </c>
      <c r="B16" t="s">
        <v>26</v>
      </c>
      <c r="C16">
        <v>20</v>
      </c>
      <c r="D16">
        <v>5</v>
      </c>
      <c r="E16">
        <v>6</v>
      </c>
      <c r="F16">
        <v>9</v>
      </c>
      <c r="G16">
        <v>22</v>
      </c>
      <c r="H16">
        <v>29</v>
      </c>
      <c r="I16">
        <v>21</v>
      </c>
      <c r="J16">
        <v>27.13</v>
      </c>
      <c r="K16">
        <v>31.45</v>
      </c>
      <c r="L16">
        <v>24.8</v>
      </c>
    </row>
    <row r="17" spans="1:12" x14ac:dyDescent="0.25">
      <c r="A17">
        <v>16</v>
      </c>
      <c r="B17" t="s">
        <v>27</v>
      </c>
      <c r="C17">
        <v>20</v>
      </c>
      <c r="D17">
        <v>5</v>
      </c>
      <c r="E17">
        <v>5</v>
      </c>
      <c r="F17">
        <v>10</v>
      </c>
      <c r="G17">
        <v>24</v>
      </c>
      <c r="H17">
        <v>35</v>
      </c>
      <c r="I17">
        <v>20</v>
      </c>
      <c r="J17">
        <v>24.52</v>
      </c>
      <c r="K17">
        <v>32.090000000000003</v>
      </c>
      <c r="L17">
        <v>22.98</v>
      </c>
    </row>
    <row r="18" spans="1:12" x14ac:dyDescent="0.25">
      <c r="A18">
        <v>17</v>
      </c>
      <c r="B18" t="s">
        <v>28</v>
      </c>
      <c r="C18">
        <v>20</v>
      </c>
      <c r="D18">
        <v>6</v>
      </c>
      <c r="E18">
        <v>4</v>
      </c>
      <c r="F18">
        <v>10</v>
      </c>
      <c r="G18">
        <v>29</v>
      </c>
      <c r="H18">
        <v>33</v>
      </c>
      <c r="I18">
        <v>22</v>
      </c>
      <c r="J18">
        <v>36.71</v>
      </c>
      <c r="K18">
        <v>27.49</v>
      </c>
      <c r="L18">
        <v>31.96</v>
      </c>
    </row>
    <row r="19" spans="1:12" x14ac:dyDescent="0.25">
      <c r="A19">
        <v>18</v>
      </c>
      <c r="B19" t="s">
        <v>29</v>
      </c>
      <c r="C19">
        <v>20</v>
      </c>
      <c r="D19">
        <v>4</v>
      </c>
      <c r="E19">
        <v>4</v>
      </c>
      <c r="F19">
        <v>12</v>
      </c>
      <c r="G19">
        <v>24</v>
      </c>
      <c r="H19">
        <v>38</v>
      </c>
      <c r="I19">
        <v>16</v>
      </c>
      <c r="J19">
        <v>24.24</v>
      </c>
      <c r="K19">
        <v>48.66</v>
      </c>
      <c r="L19">
        <v>15.53</v>
      </c>
    </row>
    <row r="20" spans="1:12" x14ac:dyDescent="0.25">
      <c r="A20">
        <v>19</v>
      </c>
      <c r="B20" t="s">
        <v>30</v>
      </c>
      <c r="C20">
        <v>20</v>
      </c>
      <c r="D20">
        <v>3</v>
      </c>
      <c r="E20">
        <v>2</v>
      </c>
      <c r="F20">
        <v>15</v>
      </c>
      <c r="G20">
        <v>20</v>
      </c>
      <c r="H20">
        <v>41</v>
      </c>
      <c r="I20">
        <v>11</v>
      </c>
      <c r="J20">
        <v>19.649999999999999</v>
      </c>
      <c r="K20">
        <v>38.380000000000003</v>
      </c>
      <c r="L20">
        <v>15.89</v>
      </c>
    </row>
    <row r="21" spans="1:12" x14ac:dyDescent="0.25">
      <c r="A21">
        <v>20</v>
      </c>
      <c r="B21" t="s">
        <v>31</v>
      </c>
      <c r="C21">
        <v>20</v>
      </c>
      <c r="D21">
        <v>2</v>
      </c>
      <c r="E21">
        <v>3</v>
      </c>
      <c r="F21">
        <v>15</v>
      </c>
      <c r="G21">
        <v>15</v>
      </c>
      <c r="H21">
        <v>49</v>
      </c>
      <c r="I21">
        <v>9</v>
      </c>
      <c r="J21">
        <v>17.309999999999999</v>
      </c>
      <c r="K21">
        <v>45.34</v>
      </c>
      <c r="L21">
        <v>12.64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1"/>
  <sheetViews>
    <sheetView tabSelected="1" topLeftCell="P1" workbookViewId="0">
      <pane ySplit="1" topLeftCell="A2" activePane="bottomLeft" state="frozen"/>
      <selection pane="bottomLeft" activeCell="X2" sqref="X2:AB5"/>
    </sheetView>
  </sheetViews>
  <sheetFormatPr defaultRowHeight="15" x14ac:dyDescent="0.25"/>
  <cols>
    <col min="1" max="1" width="26.5" customWidth="1"/>
    <col min="2" max="2" width="15.33203125" customWidth="1"/>
    <col min="3" max="3" width="17.5" customWidth="1"/>
    <col min="4" max="4" width="18.6640625" customWidth="1"/>
    <col min="5" max="7" width="13" customWidth="1"/>
    <col min="8" max="8" width="11.25" customWidth="1"/>
    <col min="9" max="12" width="13" customWidth="1"/>
    <col min="13" max="13" width="12.33203125" customWidth="1"/>
    <col min="14" max="17" width="13" customWidth="1"/>
    <col min="18" max="18" width="15.58203125" customWidth="1"/>
    <col min="19" max="19" width="11.25" customWidth="1"/>
    <col min="20" max="20" width="12.33203125" customWidth="1"/>
    <col min="21" max="23" width="13" customWidth="1"/>
    <col min="24" max="24" width="12.33203125" customWidth="1"/>
    <col min="25" max="25" width="13.4140625" customWidth="1"/>
    <col min="26" max="26" width="16.6640625" customWidth="1"/>
    <col min="27" max="27" width="17.75" customWidth="1"/>
    <col min="28" max="28" width="13" customWidth="1"/>
  </cols>
  <sheetData>
    <row r="1" spans="1:28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s="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s="1" t="s">
        <v>47</v>
      </c>
      <c r="N1" t="s">
        <v>48</v>
      </c>
      <c r="O1" t="s">
        <v>49</v>
      </c>
      <c r="P1" t="s">
        <v>50</v>
      </c>
      <c r="Q1" t="s">
        <v>51</v>
      </c>
      <c r="R1" s="1" t="s">
        <v>52</v>
      </c>
      <c r="S1" t="s">
        <v>53</v>
      </c>
      <c r="T1" t="s">
        <v>54</v>
      </c>
      <c r="U1" t="s">
        <v>55</v>
      </c>
      <c r="V1" t="s">
        <v>56</v>
      </c>
      <c r="X1" s="1" t="s">
        <v>57</v>
      </c>
      <c r="Y1" t="s">
        <v>58</v>
      </c>
      <c r="Z1" t="s">
        <v>59</v>
      </c>
      <c r="AA1" t="s">
        <v>60</v>
      </c>
      <c r="AB1" t="s">
        <v>61</v>
      </c>
    </row>
    <row r="2" spans="1:28" x14ac:dyDescent="0.25">
      <c r="A2" t="s">
        <v>12</v>
      </c>
      <c r="B2" s="2">
        <f>IFERROR((VLOOKUP($A2,'22-23'!$B:$L,6,FALSE)-VLOOKUP($A2,'22-23'!$B:$L,7,FALSE))/VLOOKUP($A2,'22-23'!$B:$L,2,FALSE),"")</f>
        <v>0.73684210526315785</v>
      </c>
      <c r="C2" s="2">
        <f>IFERROR((VLOOKUP($A2,'23-24 First 5'!$B:$L,6,FALSE)-VLOOKUP($A2,'23-24 First 5'!$B:$L,7,FALSE))/VLOOKUP($A2,'23-24 First 5'!$B:$L,2,FALSE),"")</f>
        <v>1.6</v>
      </c>
      <c r="D2" s="2">
        <f>IFERROR((VLOOKUP($A2,'23-24 First 10'!$B:$L,6,FALSE)-VLOOKUP($A2,'23-24 First 10'!$B:$L,7,FALSE))/VLOOKUP($A2,'23-24 First 10'!$B:$L,2,FALSE),"")</f>
        <v>1.4</v>
      </c>
      <c r="E2" s="2">
        <f>IFERROR((VLOOKUP($A2,'23-24 First 15'!$B:$L,6,FALSE)-VLOOKUP($A2,'23-24 First 15'!$B:$L,7,FALSE))/VLOOKUP($A2,'23-24 First 15'!$B:$L,2,FALSE),"")</f>
        <v>1.3333333333333333</v>
      </c>
      <c r="F2" s="2">
        <f>IFERROR((VLOOKUP($A2,'23-24 First 20'!$B:$L,6,FALSE)-VLOOKUP($A2,'23-24 First 20'!$B:$L,7,FALSE))/VLOOKUP($A2,'23-24 First 20'!$B:$L,2,FALSE),"")</f>
        <v>1.25</v>
      </c>
      <c r="G2" s="3">
        <v>3</v>
      </c>
      <c r="H2" s="3">
        <f t="shared" ref="H2:H21" si="0">IFERROR(RANK(B2,$B$2:$B$21,0),"")</f>
        <v>4</v>
      </c>
      <c r="I2" s="3">
        <f t="shared" ref="I2:I21" si="1">IFERROR(RANK(C2,$C$2:$C$21,0),"")</f>
        <v>2</v>
      </c>
      <c r="J2" s="3">
        <f t="shared" ref="J2:J21" si="2">IFERROR(RANK(D2,$D$2:$D$21,0),"")</f>
        <v>4</v>
      </c>
      <c r="K2" s="3">
        <f t="shared" ref="K2:K21" si="3">IFERROR(RANK(E2,$E$2:$E$21,0),"")</f>
        <v>1</v>
      </c>
      <c r="L2" s="3">
        <f t="shared" ref="L2:L21" si="4">IFERROR(RANK(F2,$F$2:$F$21,0),"")</f>
        <v>1</v>
      </c>
      <c r="M2" s="3">
        <f t="shared" ref="M2:M21" si="5">IFERROR(ABS(H2-$G2),"")</f>
        <v>1</v>
      </c>
      <c r="N2" s="3">
        <f t="shared" ref="N2:N21" si="6">IFERROR(ABS(I2-$G2),"")</f>
        <v>1</v>
      </c>
      <c r="O2" s="3">
        <f t="shared" ref="O2:O21" si="7">IFERROR(ABS(J2-$G2),"")</f>
        <v>1</v>
      </c>
      <c r="P2" s="3">
        <f t="shared" ref="P2:P21" si="8">IFERROR(ABS(K2-$G2),"")</f>
        <v>2</v>
      </c>
      <c r="Q2" s="3">
        <f t="shared" ref="Q2:Q21" si="9">IFERROR(ABS(L2-$G2),"")</f>
        <v>2</v>
      </c>
      <c r="R2" s="3">
        <f t="shared" ref="R2:R21" si="10">IFERROR(M2^2,"")</f>
        <v>1</v>
      </c>
      <c r="S2" s="3">
        <f t="shared" ref="S2:S21" si="11">IFERROR(N2^2,"")</f>
        <v>1</v>
      </c>
      <c r="T2" s="3">
        <f t="shared" ref="T2:T21" si="12">IFERROR(O2^2,"")</f>
        <v>1</v>
      </c>
      <c r="U2" s="3">
        <f t="shared" ref="U2:U21" si="13">IFERROR(P2^2,"")</f>
        <v>4</v>
      </c>
      <c r="V2" s="3">
        <f t="shared" ref="V2:V21" si="14">IFERROR(Q2^2,"")</f>
        <v>4</v>
      </c>
      <c r="X2">
        <v>5</v>
      </c>
      <c r="Y2" s="4">
        <f>AVERAGE(N$2:N$21)</f>
        <v>3.5</v>
      </c>
      <c r="Z2" s="4">
        <f>SQRT(AVERAGE(S$2:S$21))</f>
        <v>4.358898943540674</v>
      </c>
      <c r="AA2" s="4">
        <f>AVERAGE($M$2:$M$21)</f>
        <v>3</v>
      </c>
      <c r="AB2" s="4">
        <f>SQRT(AVERAGE($R$2:$R$21))</f>
        <v>3.8424869397764962</v>
      </c>
    </row>
    <row r="3" spans="1:28" x14ac:dyDescent="0.25">
      <c r="A3" t="s">
        <v>13</v>
      </c>
      <c r="B3" s="2">
        <f>IFERROR((VLOOKUP($A3,'22-23'!$B:$L,6,FALSE)-VLOOKUP($A3,'22-23'!$B:$L,7,FALSE))/VLOOKUP($A3,'22-23'!$B:$L,2,FALSE),"")</f>
        <v>0.13157894736842105</v>
      </c>
      <c r="C3" s="2">
        <f>IFERROR((VLOOKUP($A3,'23-24 First 5'!$B:$L,6,FALSE)-VLOOKUP($A3,'23-24 First 5'!$B:$L,7,FALSE))/VLOOKUP($A3,'23-24 First 5'!$B:$L,2,FALSE),"")</f>
        <v>0.2</v>
      </c>
      <c r="D3" s="2">
        <f>IFERROR((VLOOKUP($A3,'23-24 First 10'!$B:$L,6,FALSE)-VLOOKUP($A3,'23-24 First 10'!$B:$L,7,FALSE))/VLOOKUP($A3,'23-24 First 10'!$B:$L,2,FALSE),"")</f>
        <v>1.2</v>
      </c>
      <c r="E3" s="2">
        <f>IFERROR((VLOOKUP($A3,'23-24 First 15'!$B:$L,6,FALSE)-VLOOKUP($A3,'23-24 First 15'!$B:$L,7,FALSE))/VLOOKUP($A3,'23-24 First 15'!$B:$L,2,FALSE),"")</f>
        <v>0.93333333333333335</v>
      </c>
      <c r="F3" s="2">
        <f>IFERROR((VLOOKUP($A3,'23-24 First 20'!$B:$L,6,FALSE)-VLOOKUP($A3,'23-24 First 20'!$B:$L,7,FALSE))/VLOOKUP($A3,'23-24 First 20'!$B:$L,2,FALSE),"")</f>
        <v>0.8</v>
      </c>
      <c r="G3" s="3">
        <v>4</v>
      </c>
      <c r="H3" s="3">
        <f t="shared" si="0"/>
        <v>9</v>
      </c>
      <c r="I3" s="3">
        <f t="shared" si="1"/>
        <v>8</v>
      </c>
      <c r="J3" s="3">
        <f t="shared" si="2"/>
        <v>6</v>
      </c>
      <c r="K3" s="3">
        <f t="shared" si="3"/>
        <v>5</v>
      </c>
      <c r="L3" s="3">
        <f t="shared" si="4"/>
        <v>4</v>
      </c>
      <c r="M3" s="3">
        <f t="shared" si="5"/>
        <v>5</v>
      </c>
      <c r="N3" s="3">
        <f t="shared" si="6"/>
        <v>4</v>
      </c>
      <c r="O3" s="3">
        <f t="shared" si="7"/>
        <v>2</v>
      </c>
      <c r="P3" s="3">
        <f t="shared" si="8"/>
        <v>1</v>
      </c>
      <c r="Q3" s="3">
        <f t="shared" si="9"/>
        <v>0</v>
      </c>
      <c r="R3" s="3">
        <f t="shared" si="10"/>
        <v>25</v>
      </c>
      <c r="S3" s="3">
        <f t="shared" si="11"/>
        <v>16</v>
      </c>
      <c r="T3" s="3">
        <f t="shared" si="12"/>
        <v>4</v>
      </c>
      <c r="U3" s="3">
        <f t="shared" si="13"/>
        <v>1</v>
      </c>
      <c r="V3" s="3">
        <f t="shared" si="14"/>
        <v>0</v>
      </c>
      <c r="X3">
        <v>10</v>
      </c>
      <c r="Y3" s="4">
        <f>AVERAGE(O$2:O$21)</f>
        <v>2.8</v>
      </c>
      <c r="Z3" s="4">
        <f>SQRT(AVERAGE(T$2:T$21))</f>
        <v>3.6742346141747673</v>
      </c>
      <c r="AA3" s="4">
        <f>AVERAGE($M$2:$M$21)</f>
        <v>3</v>
      </c>
      <c r="AB3" s="4">
        <f>SQRT(AVERAGE($R$2:$R$21))</f>
        <v>3.8424869397764962</v>
      </c>
    </row>
    <row r="4" spans="1:28" x14ac:dyDescent="0.25">
      <c r="A4" t="s">
        <v>14</v>
      </c>
      <c r="B4" s="2">
        <f>IFERROR((VLOOKUP($A4,'22-23'!$B:$L,6,FALSE)-VLOOKUP($A4,'22-23'!$B:$L,7,FALSE))/VLOOKUP($A4,'22-23'!$B:$L,2,FALSE),"")</f>
        <v>1.6052631578947369</v>
      </c>
      <c r="C4" s="2">
        <f>IFERROR((VLOOKUP($A4,'23-24 First 5'!$B:$L,6,FALSE)-VLOOKUP($A4,'23-24 First 5'!$B:$L,7,FALSE))/VLOOKUP($A4,'23-24 First 5'!$B:$L,2,FALSE),"")</f>
        <v>2.2000000000000002</v>
      </c>
      <c r="D4" s="2">
        <f>IFERROR((VLOOKUP($A4,'23-24 First 10'!$B:$L,6,FALSE)-VLOOKUP($A4,'23-24 First 10'!$B:$L,7,FALSE))/VLOOKUP($A4,'23-24 First 10'!$B:$L,2,FALSE),"")</f>
        <v>1.5</v>
      </c>
      <c r="E4" s="2">
        <f>IFERROR((VLOOKUP($A4,'23-24 First 15'!$B:$L,6,FALSE)-VLOOKUP($A4,'23-24 First 15'!$B:$L,7,FALSE))/VLOOKUP($A4,'23-24 First 15'!$B:$L,2,FALSE),"")</f>
        <v>1.2666666666666666</v>
      </c>
      <c r="F4" s="2">
        <f>IFERROR((VLOOKUP($A4,'23-24 First 20'!$B:$L,6,FALSE)-VLOOKUP($A4,'23-24 First 20'!$B:$L,7,FALSE))/VLOOKUP($A4,'23-24 First 20'!$B:$L,2,FALSE),"")</f>
        <v>1.25</v>
      </c>
      <c r="G4" s="3">
        <v>1</v>
      </c>
      <c r="H4" s="3">
        <f t="shared" si="0"/>
        <v>1</v>
      </c>
      <c r="I4" s="3">
        <f t="shared" si="1"/>
        <v>1</v>
      </c>
      <c r="J4" s="3">
        <f t="shared" si="2"/>
        <v>1</v>
      </c>
      <c r="K4" s="3">
        <f t="shared" si="3"/>
        <v>2</v>
      </c>
      <c r="L4" s="3">
        <f t="shared" si="4"/>
        <v>1</v>
      </c>
      <c r="M4" s="3">
        <f t="shared" si="5"/>
        <v>0</v>
      </c>
      <c r="N4" s="3">
        <f t="shared" si="6"/>
        <v>0</v>
      </c>
      <c r="O4" s="3">
        <f t="shared" si="7"/>
        <v>0</v>
      </c>
      <c r="P4" s="3">
        <f t="shared" si="8"/>
        <v>1</v>
      </c>
      <c r="Q4" s="3">
        <f t="shared" si="9"/>
        <v>0</v>
      </c>
      <c r="R4" s="3">
        <f t="shared" si="10"/>
        <v>0</v>
      </c>
      <c r="S4" s="3">
        <f t="shared" si="11"/>
        <v>0</v>
      </c>
      <c r="T4" s="3">
        <f t="shared" si="12"/>
        <v>0</v>
      </c>
      <c r="U4" s="3">
        <f t="shared" si="13"/>
        <v>1</v>
      </c>
      <c r="V4" s="3">
        <f t="shared" si="14"/>
        <v>0</v>
      </c>
      <c r="X4">
        <v>15</v>
      </c>
      <c r="Y4" s="4">
        <f>AVERAGE(P$2:P$21)</f>
        <v>2.0499999999999998</v>
      </c>
      <c r="Z4" s="4">
        <f>SQRT(AVERAGE(U$2:U$21))</f>
        <v>2.9240383034426891</v>
      </c>
      <c r="AA4" s="4">
        <f>AVERAGE($M$2:$M$21)</f>
        <v>3</v>
      </c>
      <c r="AB4" s="4">
        <f>SQRT(AVERAGE($R$2:$R$21))</f>
        <v>3.8424869397764962</v>
      </c>
    </row>
    <row r="5" spans="1:28" x14ac:dyDescent="0.25">
      <c r="A5" t="s">
        <v>15</v>
      </c>
      <c r="B5" s="2">
        <f>IFERROR((VLOOKUP($A5,'22-23'!$B:$L,6,FALSE)-VLOOKUP($A5,'22-23'!$B:$L,7,FALSE))/VLOOKUP($A5,'22-23'!$B:$L,2,FALSE),"")</f>
        <v>1.1842105263157894</v>
      </c>
      <c r="C5" s="2">
        <f>IFERROR((VLOOKUP($A5,'23-24 First 5'!$B:$L,6,FALSE)-VLOOKUP($A5,'23-24 First 5'!$B:$L,7,FALSE))/VLOOKUP($A5,'23-24 First 5'!$B:$L,2,FALSE),"")</f>
        <v>1</v>
      </c>
      <c r="D5" s="2">
        <f>IFERROR((VLOOKUP($A5,'23-24 First 10'!$B:$L,6,FALSE)-VLOOKUP($A5,'23-24 First 10'!$B:$L,7,FALSE))/VLOOKUP($A5,'23-24 First 10'!$B:$L,2,FALSE),"")</f>
        <v>1.5</v>
      </c>
      <c r="E5" s="2">
        <f>IFERROR((VLOOKUP($A5,'23-24 First 15'!$B:$L,6,FALSE)-VLOOKUP($A5,'23-24 First 15'!$B:$L,7,FALSE))/VLOOKUP($A5,'23-24 First 15'!$B:$L,2,FALSE),"")</f>
        <v>1.2666666666666666</v>
      </c>
      <c r="F5" s="2">
        <f>IFERROR((VLOOKUP($A5,'23-24 First 20'!$B:$L,6,FALSE)-VLOOKUP($A5,'23-24 First 20'!$B:$L,7,FALSE))/VLOOKUP($A5,'23-24 First 20'!$B:$L,2,FALSE),"")</f>
        <v>0.85</v>
      </c>
      <c r="G5" s="3">
        <v>2</v>
      </c>
      <c r="H5" s="3">
        <f t="shared" si="0"/>
        <v>2</v>
      </c>
      <c r="I5" s="3">
        <f t="shared" si="1"/>
        <v>5</v>
      </c>
      <c r="J5" s="3">
        <f t="shared" si="2"/>
        <v>1</v>
      </c>
      <c r="K5" s="3">
        <f t="shared" si="3"/>
        <v>2</v>
      </c>
      <c r="L5" s="3">
        <f t="shared" si="4"/>
        <v>3</v>
      </c>
      <c r="M5" s="3">
        <f t="shared" si="5"/>
        <v>0</v>
      </c>
      <c r="N5" s="3">
        <f t="shared" si="6"/>
        <v>3</v>
      </c>
      <c r="O5" s="3">
        <f t="shared" si="7"/>
        <v>1</v>
      </c>
      <c r="P5" s="3">
        <f t="shared" si="8"/>
        <v>0</v>
      </c>
      <c r="Q5" s="3">
        <f t="shared" si="9"/>
        <v>1</v>
      </c>
      <c r="R5" s="3">
        <f t="shared" si="10"/>
        <v>0</v>
      </c>
      <c r="S5" s="3">
        <f t="shared" si="11"/>
        <v>9</v>
      </c>
      <c r="T5" s="3">
        <f t="shared" si="12"/>
        <v>1</v>
      </c>
      <c r="U5" s="3">
        <f t="shared" si="13"/>
        <v>0</v>
      </c>
      <c r="V5" s="3">
        <f t="shared" si="14"/>
        <v>1</v>
      </c>
      <c r="X5">
        <v>20</v>
      </c>
      <c r="Y5" s="4">
        <f>AVERAGE(Q$2:Q$21)</f>
        <v>1.95</v>
      </c>
      <c r="Z5" s="4">
        <f>SQRT(AVERAGE(V$2:V$21))</f>
        <v>2.6739483914241875</v>
      </c>
      <c r="AA5" s="4">
        <f>AVERAGE($M$2:$M$21)</f>
        <v>3</v>
      </c>
      <c r="AB5" s="4">
        <f>SQRT(AVERAGE($R$2:$R$21))</f>
        <v>3.8424869397764962</v>
      </c>
    </row>
    <row r="6" spans="1:28" x14ac:dyDescent="0.25">
      <c r="A6" t="s">
        <v>16</v>
      </c>
      <c r="B6" s="2">
        <f>IFERROR((VLOOKUP($A6,'22-23'!$B:$L,6,FALSE)-VLOOKUP($A6,'22-23'!$B:$L,7,FALSE))/VLOOKUP($A6,'22-23'!$B:$L,2,FALSE),"")</f>
        <v>0.18421052631578946</v>
      </c>
      <c r="C6" s="2">
        <f>IFERROR((VLOOKUP($A6,'23-24 First 5'!$B:$L,6,FALSE)-VLOOKUP($A6,'23-24 First 5'!$B:$L,7,FALSE))/VLOOKUP($A6,'23-24 First 5'!$B:$L,2,FALSE),"")</f>
        <v>1.6</v>
      </c>
      <c r="D6" s="2">
        <f>IFERROR((VLOOKUP($A6,'23-24 First 10'!$B:$L,6,FALSE)-VLOOKUP($A6,'23-24 First 10'!$B:$L,7,FALSE))/VLOOKUP($A6,'23-24 First 10'!$B:$L,2,FALSE),"")</f>
        <v>1.3</v>
      </c>
      <c r="E6" s="2">
        <f>IFERROR((VLOOKUP($A6,'23-24 First 15'!$B:$L,6,FALSE)-VLOOKUP($A6,'23-24 First 15'!$B:$L,7,FALSE))/VLOOKUP($A6,'23-24 First 15'!$B:$L,2,FALSE),"")</f>
        <v>0.46666666666666667</v>
      </c>
      <c r="F6" s="2">
        <f>IFERROR((VLOOKUP($A6,'23-24 First 20'!$B:$L,6,FALSE)-VLOOKUP($A6,'23-24 First 20'!$B:$L,7,FALSE))/VLOOKUP($A6,'23-24 First 20'!$B:$L,2,FALSE),"")</f>
        <v>0.65</v>
      </c>
      <c r="G6" s="3">
        <v>5</v>
      </c>
      <c r="H6" s="3">
        <f t="shared" si="0"/>
        <v>8</v>
      </c>
      <c r="I6" s="3">
        <f t="shared" si="1"/>
        <v>2</v>
      </c>
      <c r="J6" s="3">
        <f t="shared" si="2"/>
        <v>5</v>
      </c>
      <c r="K6" s="3">
        <f t="shared" si="3"/>
        <v>6</v>
      </c>
      <c r="L6" s="3">
        <f t="shared" si="4"/>
        <v>5</v>
      </c>
      <c r="M6" s="3">
        <f t="shared" si="5"/>
        <v>3</v>
      </c>
      <c r="N6" s="3">
        <f t="shared" si="6"/>
        <v>3</v>
      </c>
      <c r="O6" s="3">
        <f t="shared" si="7"/>
        <v>0</v>
      </c>
      <c r="P6" s="3">
        <f t="shared" si="8"/>
        <v>1</v>
      </c>
      <c r="Q6" s="3">
        <f t="shared" si="9"/>
        <v>0</v>
      </c>
      <c r="R6" s="3">
        <f t="shared" si="10"/>
        <v>9</v>
      </c>
      <c r="S6" s="3">
        <f t="shared" si="11"/>
        <v>9</v>
      </c>
      <c r="T6" s="3">
        <f t="shared" si="12"/>
        <v>0</v>
      </c>
      <c r="U6" s="3">
        <f t="shared" si="13"/>
        <v>1</v>
      </c>
      <c r="V6" s="3">
        <f t="shared" si="14"/>
        <v>0</v>
      </c>
    </row>
    <row r="7" spans="1:28" x14ac:dyDescent="0.25">
      <c r="A7" t="s">
        <v>17</v>
      </c>
      <c r="B7" s="2">
        <f>IFERROR((VLOOKUP($A7,'22-23'!$B:$L,6,FALSE)-VLOOKUP($A7,'22-23'!$B:$L,7,FALSE))/VLOOKUP($A7,'22-23'!$B:$L,2,FALSE),"")</f>
        <v>-0.34210526315789475</v>
      </c>
      <c r="C7" s="2">
        <f>IFERROR((VLOOKUP($A7,'23-24 First 5'!$B:$L,6,FALSE)-VLOOKUP($A7,'23-24 First 5'!$B:$L,7,FALSE))/VLOOKUP($A7,'23-24 First 5'!$B:$L,2,FALSE),"")</f>
        <v>0.6</v>
      </c>
      <c r="D7" s="2">
        <f>IFERROR((VLOOKUP($A7,'23-24 First 10'!$B:$L,6,FALSE)-VLOOKUP($A7,'23-24 First 10'!$B:$L,7,FALSE))/VLOOKUP($A7,'23-24 First 10'!$B:$L,2,FALSE),"")</f>
        <v>-0.1</v>
      </c>
      <c r="E7" s="2">
        <f>IFERROR((VLOOKUP($A7,'23-24 First 15'!$B:$L,6,FALSE)-VLOOKUP($A7,'23-24 First 15'!$B:$L,7,FALSE))/VLOOKUP($A7,'23-24 First 15'!$B:$L,2,FALSE),"")</f>
        <v>6.6666666666666666E-2</v>
      </c>
      <c r="F7" s="2">
        <f>IFERROR((VLOOKUP($A7,'23-24 First 20'!$B:$L,6,FALSE)-VLOOKUP($A7,'23-24 First 20'!$B:$L,7,FALSE))/VLOOKUP($A7,'23-24 First 20'!$B:$L,2,FALSE),"")</f>
        <v>0.15</v>
      </c>
      <c r="G7" s="3">
        <v>9</v>
      </c>
      <c r="H7" s="3">
        <f t="shared" si="0"/>
        <v>13</v>
      </c>
      <c r="I7" s="3">
        <f t="shared" si="1"/>
        <v>6</v>
      </c>
      <c r="J7" s="3">
        <f t="shared" si="2"/>
        <v>10</v>
      </c>
      <c r="K7" s="3">
        <f t="shared" si="3"/>
        <v>10</v>
      </c>
      <c r="L7" s="3">
        <f t="shared" si="4"/>
        <v>8</v>
      </c>
      <c r="M7" s="3">
        <f t="shared" si="5"/>
        <v>4</v>
      </c>
      <c r="N7" s="3">
        <f t="shared" si="6"/>
        <v>3</v>
      </c>
      <c r="O7" s="3">
        <f t="shared" si="7"/>
        <v>1</v>
      </c>
      <c r="P7" s="3">
        <f t="shared" si="8"/>
        <v>1</v>
      </c>
      <c r="Q7" s="3">
        <f t="shared" si="9"/>
        <v>1</v>
      </c>
      <c r="R7" s="3">
        <f t="shared" si="10"/>
        <v>16</v>
      </c>
      <c r="S7" s="3">
        <f t="shared" si="11"/>
        <v>9</v>
      </c>
      <c r="T7" s="3">
        <f t="shared" si="12"/>
        <v>1</v>
      </c>
      <c r="U7" s="3">
        <f t="shared" si="13"/>
        <v>1</v>
      </c>
      <c r="V7" s="3">
        <f t="shared" si="14"/>
        <v>1</v>
      </c>
    </row>
    <row r="8" spans="1:28" x14ac:dyDescent="0.25">
      <c r="A8" t="s">
        <v>18</v>
      </c>
      <c r="B8" s="2">
        <f>IFERROR((VLOOKUP($A8,'22-23'!$B:$L,6,FALSE)-VLOOKUP($A8,'22-23'!$B:$L,7,FALSE))/VLOOKUP($A8,'22-23'!$B:$L,2,FALSE),"")</f>
        <v>0.5</v>
      </c>
      <c r="C8" s="2">
        <f>IFERROR((VLOOKUP($A8,'23-24 First 5'!$B:$L,6,FALSE)-VLOOKUP($A8,'23-24 First 5'!$B:$L,7,FALSE))/VLOOKUP($A8,'23-24 First 5'!$B:$L,2,FALSE),"")</f>
        <v>1.6</v>
      </c>
      <c r="D8" s="2">
        <f>IFERROR((VLOOKUP($A8,'23-24 First 10'!$B:$L,6,FALSE)-VLOOKUP($A8,'23-24 First 10'!$B:$L,7,FALSE))/VLOOKUP($A8,'23-24 First 10'!$B:$L,2,FALSE),"")</f>
        <v>0.4</v>
      </c>
      <c r="E8" s="2">
        <f>IFERROR((VLOOKUP($A8,'23-24 First 15'!$B:$L,6,FALSE)-VLOOKUP($A8,'23-24 First 15'!$B:$L,7,FALSE))/VLOOKUP($A8,'23-24 First 15'!$B:$L,2,FALSE),"")</f>
        <v>0.33333333333333331</v>
      </c>
      <c r="F8" s="2">
        <f>IFERROR((VLOOKUP($A8,'23-24 First 20'!$B:$L,6,FALSE)-VLOOKUP($A8,'23-24 First 20'!$B:$L,7,FALSE))/VLOOKUP($A8,'23-24 First 20'!$B:$L,2,FALSE),"")</f>
        <v>0.25</v>
      </c>
      <c r="G8" s="3">
        <v>11</v>
      </c>
      <c r="H8" s="3">
        <f t="shared" si="0"/>
        <v>5</v>
      </c>
      <c r="I8" s="3">
        <f t="shared" si="1"/>
        <v>2</v>
      </c>
      <c r="J8" s="3">
        <f t="shared" si="2"/>
        <v>7</v>
      </c>
      <c r="K8" s="3">
        <f t="shared" si="3"/>
        <v>7</v>
      </c>
      <c r="L8" s="3">
        <f t="shared" si="4"/>
        <v>7</v>
      </c>
      <c r="M8" s="3">
        <f t="shared" si="5"/>
        <v>6</v>
      </c>
      <c r="N8" s="3">
        <f t="shared" si="6"/>
        <v>9</v>
      </c>
      <c r="O8" s="3">
        <f t="shared" si="7"/>
        <v>4</v>
      </c>
      <c r="P8" s="3">
        <f t="shared" si="8"/>
        <v>4</v>
      </c>
      <c r="Q8" s="3">
        <f t="shared" si="9"/>
        <v>4</v>
      </c>
      <c r="R8" s="3">
        <f t="shared" si="10"/>
        <v>36</v>
      </c>
      <c r="S8" s="3">
        <f t="shared" si="11"/>
        <v>81</v>
      </c>
      <c r="T8" s="3">
        <f t="shared" si="12"/>
        <v>16</v>
      </c>
      <c r="U8" s="3">
        <f t="shared" si="13"/>
        <v>16</v>
      </c>
      <c r="V8" s="3">
        <f t="shared" si="14"/>
        <v>16</v>
      </c>
    </row>
    <row r="9" spans="1:28" x14ac:dyDescent="0.25">
      <c r="A9" t="s">
        <v>19</v>
      </c>
      <c r="B9" s="2">
        <f>IFERROR((VLOOKUP($A9,'22-23'!$B:$L,6,FALSE)-VLOOKUP($A9,'22-23'!$B:$L,7,FALSE))/VLOOKUP($A9,'22-23'!$B:$L,2,FALSE),"")</f>
        <v>0.39473684210526316</v>
      </c>
      <c r="C9" s="2">
        <f>IFERROR((VLOOKUP($A9,'23-24 First 5'!$B:$L,6,FALSE)-VLOOKUP($A9,'23-24 First 5'!$B:$L,7,FALSE))/VLOOKUP($A9,'23-24 First 5'!$B:$L,2,FALSE),"")</f>
        <v>-0.8</v>
      </c>
      <c r="D9" s="2">
        <f>IFERROR((VLOOKUP($A9,'23-24 First 10'!$B:$L,6,FALSE)-VLOOKUP($A9,'23-24 First 10'!$B:$L,7,FALSE))/VLOOKUP($A9,'23-24 First 10'!$B:$L,2,FALSE),"")</f>
        <v>-0.5</v>
      </c>
      <c r="E9" s="2">
        <f>IFERROR((VLOOKUP($A9,'23-24 First 15'!$B:$L,6,FALSE)-VLOOKUP($A9,'23-24 First 15'!$B:$L,7,FALSE))/VLOOKUP($A9,'23-24 First 15'!$B:$L,2,FALSE),"")</f>
        <v>0</v>
      </c>
      <c r="F9" s="2">
        <f>IFERROR((VLOOKUP($A9,'23-24 First 20'!$B:$L,6,FALSE)-VLOOKUP($A9,'23-24 First 20'!$B:$L,7,FALSE))/VLOOKUP($A9,'23-24 First 20'!$B:$L,2,FALSE),"")</f>
        <v>-0.25</v>
      </c>
      <c r="G9" s="3">
        <v>8</v>
      </c>
      <c r="H9" s="3">
        <f t="shared" si="0"/>
        <v>6</v>
      </c>
      <c r="I9" s="3">
        <f t="shared" si="1"/>
        <v>13</v>
      </c>
      <c r="J9" s="3">
        <f t="shared" si="2"/>
        <v>13</v>
      </c>
      <c r="K9" s="3">
        <f t="shared" si="3"/>
        <v>11</v>
      </c>
      <c r="L9" s="3">
        <f t="shared" si="4"/>
        <v>13</v>
      </c>
      <c r="M9" s="3">
        <f t="shared" si="5"/>
        <v>2</v>
      </c>
      <c r="N9" s="3">
        <f t="shared" si="6"/>
        <v>5</v>
      </c>
      <c r="O9" s="3">
        <f t="shared" si="7"/>
        <v>5</v>
      </c>
      <c r="P9" s="3">
        <f t="shared" si="8"/>
        <v>3</v>
      </c>
      <c r="Q9" s="3">
        <f t="shared" si="9"/>
        <v>5</v>
      </c>
      <c r="R9" s="3">
        <f t="shared" si="10"/>
        <v>4</v>
      </c>
      <c r="S9" s="3">
        <f t="shared" si="11"/>
        <v>25</v>
      </c>
      <c r="T9" s="3">
        <f t="shared" si="12"/>
        <v>25</v>
      </c>
      <c r="U9" s="3">
        <f t="shared" si="13"/>
        <v>9</v>
      </c>
      <c r="V9" s="3">
        <f t="shared" si="14"/>
        <v>25</v>
      </c>
    </row>
    <row r="10" spans="1:28" x14ac:dyDescent="0.25">
      <c r="A10" t="s">
        <v>20</v>
      </c>
      <c r="B10" s="2">
        <f>IFERROR((VLOOKUP($A10,'22-23'!$B:$L,6,FALSE)-VLOOKUP($A10,'22-23'!$B:$L,7,FALSE))/VLOOKUP($A10,'22-23'!$B:$L,2,FALSE),"")</f>
        <v>0.92105263157894735</v>
      </c>
      <c r="C10" s="2">
        <f>IFERROR((VLOOKUP($A10,'23-24 First 5'!$B:$L,6,FALSE)-VLOOKUP($A10,'23-24 First 5'!$B:$L,7,FALSE))/VLOOKUP($A10,'23-24 First 5'!$B:$L,2,FALSE),"")</f>
        <v>0.2</v>
      </c>
      <c r="D10" s="2">
        <f>IFERROR((VLOOKUP($A10,'23-24 First 10'!$B:$L,6,FALSE)-VLOOKUP($A10,'23-24 First 10'!$B:$L,7,FALSE))/VLOOKUP($A10,'23-24 First 10'!$B:$L,2,FALSE),"")</f>
        <v>1.5</v>
      </c>
      <c r="E10" s="2">
        <f>IFERROR((VLOOKUP($A10,'23-24 First 15'!$B:$L,6,FALSE)-VLOOKUP($A10,'23-24 First 15'!$B:$L,7,FALSE))/VLOOKUP($A10,'23-24 First 15'!$B:$L,2,FALSE),"")</f>
        <v>1</v>
      </c>
      <c r="F10" s="2">
        <f>IFERROR((VLOOKUP($A10,'23-24 First 20'!$B:$L,6,FALSE)-VLOOKUP($A10,'23-24 First 20'!$B:$L,7,FALSE))/VLOOKUP($A10,'23-24 First 20'!$B:$L,2,FALSE),"")</f>
        <v>0.5</v>
      </c>
      <c r="G10" s="3">
        <v>7</v>
      </c>
      <c r="H10" s="3">
        <f t="shared" si="0"/>
        <v>3</v>
      </c>
      <c r="I10" s="3">
        <f t="shared" si="1"/>
        <v>8</v>
      </c>
      <c r="J10" s="3">
        <f t="shared" si="2"/>
        <v>1</v>
      </c>
      <c r="K10" s="3">
        <f t="shared" si="3"/>
        <v>4</v>
      </c>
      <c r="L10" s="3">
        <f t="shared" si="4"/>
        <v>6</v>
      </c>
      <c r="M10" s="3">
        <f t="shared" si="5"/>
        <v>4</v>
      </c>
      <c r="N10" s="3">
        <f t="shared" si="6"/>
        <v>1</v>
      </c>
      <c r="O10" s="3">
        <f t="shared" si="7"/>
        <v>6</v>
      </c>
      <c r="P10" s="3">
        <f t="shared" si="8"/>
        <v>3</v>
      </c>
      <c r="Q10" s="3">
        <f t="shared" si="9"/>
        <v>1</v>
      </c>
      <c r="R10" s="3">
        <f t="shared" si="10"/>
        <v>16</v>
      </c>
      <c r="S10" s="3">
        <f t="shared" si="11"/>
        <v>1</v>
      </c>
      <c r="T10" s="3">
        <f t="shared" si="12"/>
        <v>36</v>
      </c>
      <c r="U10" s="3">
        <f t="shared" si="13"/>
        <v>9</v>
      </c>
      <c r="V10" s="3">
        <f t="shared" si="14"/>
        <v>1</v>
      </c>
    </row>
    <row r="11" spans="1:28" x14ac:dyDescent="0.25">
      <c r="A11" t="s">
        <v>21</v>
      </c>
      <c r="B11" s="2">
        <f>IFERROR((VLOOKUP($A11,'22-23'!$B:$L,6,FALSE)-VLOOKUP($A11,'22-23'!$B:$L,7,FALSE))/VLOOKUP($A11,'22-23'!$B:$L,2,FALSE),"")</f>
        <v>-0.23684210526315788</v>
      </c>
      <c r="C11" s="2">
        <f>IFERROR((VLOOKUP($A11,'23-24 First 5'!$B:$L,6,FALSE)-VLOOKUP($A11,'23-24 First 5'!$B:$L,7,FALSE))/VLOOKUP($A11,'23-24 First 5'!$B:$L,2,FALSE),"")</f>
        <v>0</v>
      </c>
      <c r="D11" s="2">
        <f>IFERROR((VLOOKUP($A11,'23-24 First 10'!$B:$L,6,FALSE)-VLOOKUP($A11,'23-24 First 10'!$B:$L,7,FALSE))/VLOOKUP($A11,'23-24 First 10'!$B:$L,2,FALSE),"")</f>
        <v>0.2</v>
      </c>
      <c r="E11" s="2">
        <f>IFERROR((VLOOKUP($A11,'23-24 First 15'!$B:$L,6,FALSE)-VLOOKUP($A11,'23-24 First 15'!$B:$L,7,FALSE))/VLOOKUP($A11,'23-24 First 15'!$B:$L,2,FALSE),"")</f>
        <v>0.13333333333333333</v>
      </c>
      <c r="F11" s="2">
        <f>IFERROR((VLOOKUP($A11,'23-24 First 20'!$B:$L,6,FALSE)-VLOOKUP($A11,'23-24 First 20'!$B:$L,7,FALSE))/VLOOKUP($A11,'23-24 First 20'!$B:$L,2,FALSE),"")</f>
        <v>0.15</v>
      </c>
      <c r="G11" s="3">
        <v>6</v>
      </c>
      <c r="H11" s="3">
        <f t="shared" si="0"/>
        <v>11</v>
      </c>
      <c r="I11" s="3">
        <f t="shared" si="1"/>
        <v>10</v>
      </c>
      <c r="J11" s="3">
        <f t="shared" si="2"/>
        <v>9</v>
      </c>
      <c r="K11" s="3">
        <f t="shared" si="3"/>
        <v>8</v>
      </c>
      <c r="L11" s="3">
        <f t="shared" si="4"/>
        <v>8</v>
      </c>
      <c r="M11" s="3">
        <f t="shared" si="5"/>
        <v>5</v>
      </c>
      <c r="N11" s="3">
        <f t="shared" si="6"/>
        <v>4</v>
      </c>
      <c r="O11" s="3">
        <f t="shared" si="7"/>
        <v>3</v>
      </c>
      <c r="P11" s="3">
        <f t="shared" si="8"/>
        <v>2</v>
      </c>
      <c r="Q11" s="3">
        <f t="shared" si="9"/>
        <v>2</v>
      </c>
      <c r="R11" s="3">
        <f t="shared" si="10"/>
        <v>25</v>
      </c>
      <c r="S11" s="3">
        <f t="shared" si="11"/>
        <v>16</v>
      </c>
      <c r="T11" s="3">
        <f t="shared" si="12"/>
        <v>9</v>
      </c>
      <c r="U11" s="3">
        <f t="shared" si="13"/>
        <v>4</v>
      </c>
      <c r="V11" s="3">
        <f t="shared" si="14"/>
        <v>4</v>
      </c>
    </row>
    <row r="12" spans="1:28" x14ac:dyDescent="0.25">
      <c r="A12" t="s">
        <v>22</v>
      </c>
      <c r="B12" s="2">
        <f>IFERROR((VLOOKUP($A12,'22-23'!$B:$L,6,FALSE)-VLOOKUP($A12,'22-23'!$B:$L,7,FALSE))/VLOOKUP($A12,'22-23'!$B:$L,2,FALSE),"")</f>
        <v>-0.71052631578947367</v>
      </c>
      <c r="C12" s="2">
        <f>IFERROR((VLOOKUP($A12,'23-24 First 5'!$B:$L,6,FALSE)-VLOOKUP($A12,'23-24 First 5'!$B:$L,7,FALSE))/VLOOKUP($A12,'23-24 First 5'!$B:$L,2,FALSE),"")</f>
        <v>-1.2</v>
      </c>
      <c r="D12" s="2">
        <f>IFERROR((VLOOKUP($A12,'23-24 First 10'!$B:$L,6,FALSE)-VLOOKUP($A12,'23-24 First 10'!$B:$L,7,FALSE))/VLOOKUP($A12,'23-24 First 10'!$B:$L,2,FALSE),"")</f>
        <v>-0.4</v>
      </c>
      <c r="E12" s="2">
        <f>IFERROR((VLOOKUP($A12,'23-24 First 15'!$B:$L,6,FALSE)-VLOOKUP($A12,'23-24 First 15'!$B:$L,7,FALSE))/VLOOKUP($A12,'23-24 First 15'!$B:$L,2,FALSE),"")</f>
        <v>-0.33333333333333331</v>
      </c>
      <c r="F12" s="2">
        <f>IFERROR((VLOOKUP($A12,'23-24 First 20'!$B:$L,6,FALSE)-VLOOKUP($A12,'23-24 First 20'!$B:$L,7,FALSE))/VLOOKUP($A12,'23-24 First 20'!$B:$L,2,FALSE),"")</f>
        <v>-0.05</v>
      </c>
      <c r="G12" s="3">
        <v>14</v>
      </c>
      <c r="H12" s="3">
        <f t="shared" si="0"/>
        <v>15</v>
      </c>
      <c r="I12" s="3">
        <f t="shared" si="1"/>
        <v>17</v>
      </c>
      <c r="J12" s="3">
        <f t="shared" si="2"/>
        <v>11</v>
      </c>
      <c r="K12" s="3">
        <f t="shared" si="3"/>
        <v>13</v>
      </c>
      <c r="L12" s="3">
        <f t="shared" si="4"/>
        <v>10</v>
      </c>
      <c r="M12" s="3">
        <f t="shared" si="5"/>
        <v>1</v>
      </c>
      <c r="N12" s="3">
        <f t="shared" si="6"/>
        <v>3</v>
      </c>
      <c r="O12" s="3">
        <f t="shared" si="7"/>
        <v>3</v>
      </c>
      <c r="P12" s="3">
        <f t="shared" si="8"/>
        <v>1</v>
      </c>
      <c r="Q12" s="3">
        <f t="shared" si="9"/>
        <v>4</v>
      </c>
      <c r="R12" s="3">
        <f t="shared" si="10"/>
        <v>1</v>
      </c>
      <c r="S12" s="3">
        <f t="shared" si="11"/>
        <v>9</v>
      </c>
      <c r="T12" s="3">
        <f t="shared" si="12"/>
        <v>9</v>
      </c>
      <c r="U12" s="3">
        <f t="shared" si="13"/>
        <v>1</v>
      </c>
      <c r="V12" s="3">
        <f t="shared" si="14"/>
        <v>16</v>
      </c>
    </row>
    <row r="13" spans="1:28" x14ac:dyDescent="0.25">
      <c r="A13" t="s">
        <v>23</v>
      </c>
      <c r="B13" s="2">
        <f>IFERROR((VLOOKUP($A13,'22-23'!$B:$L,6,FALSE)-VLOOKUP($A13,'22-23'!$B:$L,7,FALSE))/VLOOKUP($A13,'22-23'!$B:$L,2,FALSE),"")</f>
        <v>-0.60526315789473684</v>
      </c>
      <c r="C13" s="2">
        <f>IFERROR((VLOOKUP($A13,'23-24 First 5'!$B:$L,6,FALSE)-VLOOKUP($A13,'23-24 First 5'!$B:$L,7,FALSE))/VLOOKUP($A13,'23-24 First 5'!$B:$L,2,FALSE),"")</f>
        <v>-1.4</v>
      </c>
      <c r="D13" s="2">
        <f>IFERROR((VLOOKUP($A13,'23-24 First 10'!$B:$L,6,FALSE)-VLOOKUP($A13,'23-24 First 10'!$B:$L,7,FALSE))/VLOOKUP($A13,'23-24 First 10'!$B:$L,2,FALSE),"")</f>
        <v>-0.4</v>
      </c>
      <c r="E13" s="2">
        <f>IFERROR((VLOOKUP($A13,'23-24 First 15'!$B:$L,6,FALSE)-VLOOKUP($A13,'23-24 First 15'!$B:$L,7,FALSE))/VLOOKUP($A13,'23-24 First 15'!$B:$L,2,FALSE),"")</f>
        <v>-0.13333333333333333</v>
      </c>
      <c r="F13" s="2">
        <f>IFERROR((VLOOKUP($A13,'23-24 First 20'!$B:$L,6,FALSE)-VLOOKUP($A13,'23-24 First 20'!$B:$L,7,FALSE))/VLOOKUP($A13,'23-24 First 20'!$B:$L,2,FALSE),"")</f>
        <v>-0.2</v>
      </c>
      <c r="G13" s="3">
        <v>15</v>
      </c>
      <c r="H13" s="3">
        <f t="shared" si="0"/>
        <v>14</v>
      </c>
      <c r="I13" s="3">
        <f t="shared" si="1"/>
        <v>18</v>
      </c>
      <c r="J13" s="3">
        <f t="shared" si="2"/>
        <v>11</v>
      </c>
      <c r="K13" s="3">
        <f t="shared" si="3"/>
        <v>12</v>
      </c>
      <c r="L13" s="3">
        <f t="shared" si="4"/>
        <v>11</v>
      </c>
      <c r="M13" s="3">
        <f t="shared" si="5"/>
        <v>1</v>
      </c>
      <c r="N13" s="3">
        <f t="shared" si="6"/>
        <v>3</v>
      </c>
      <c r="O13" s="3">
        <f t="shared" si="7"/>
        <v>4</v>
      </c>
      <c r="P13" s="3">
        <f t="shared" si="8"/>
        <v>3</v>
      </c>
      <c r="Q13" s="3">
        <f t="shared" si="9"/>
        <v>4</v>
      </c>
      <c r="R13" s="3">
        <f t="shared" si="10"/>
        <v>1</v>
      </c>
      <c r="S13" s="3">
        <f t="shared" si="11"/>
        <v>9</v>
      </c>
      <c r="T13" s="3">
        <f t="shared" si="12"/>
        <v>16</v>
      </c>
      <c r="U13" s="3">
        <f t="shared" si="13"/>
        <v>9</v>
      </c>
      <c r="V13" s="3">
        <f t="shared" si="14"/>
        <v>16</v>
      </c>
    </row>
    <row r="14" spans="1:28" x14ac:dyDescent="0.25">
      <c r="A14" t="s">
        <v>24</v>
      </c>
      <c r="B14" s="2">
        <f>IFERROR((VLOOKUP($A14,'22-23'!$B:$L,6,FALSE)-VLOOKUP($A14,'22-23'!$B:$L,7,FALSE))/VLOOKUP($A14,'22-23'!$B:$L,2,FALSE),"")</f>
        <v>-0.89473684210526316</v>
      </c>
      <c r="C14" s="2">
        <f>IFERROR((VLOOKUP($A14,'23-24 First 5'!$B:$L,6,FALSE)-VLOOKUP($A14,'23-24 First 5'!$B:$L,7,FALSE))/VLOOKUP($A14,'23-24 First 5'!$B:$L,2,FALSE),"")</f>
        <v>-0.8</v>
      </c>
      <c r="D14" s="2">
        <f>IFERROR((VLOOKUP($A14,'23-24 First 10'!$B:$L,6,FALSE)-VLOOKUP($A14,'23-24 First 10'!$B:$L,7,FALSE))/VLOOKUP($A14,'23-24 First 10'!$B:$L,2,FALSE),"")</f>
        <v>-1.3</v>
      </c>
      <c r="E14" s="2">
        <f>IFERROR((VLOOKUP($A14,'23-24 First 15'!$B:$L,6,FALSE)-VLOOKUP($A14,'23-24 First 15'!$B:$L,7,FALSE))/VLOOKUP($A14,'23-24 First 15'!$B:$L,2,FALSE),"")</f>
        <v>-0.8</v>
      </c>
      <c r="F14" s="2">
        <f>IFERROR((VLOOKUP($A14,'23-24 First 20'!$B:$L,6,FALSE)-VLOOKUP($A14,'23-24 First 20'!$B:$L,7,FALSE))/VLOOKUP($A14,'23-24 First 20'!$B:$L,2,FALSE),"")</f>
        <v>-0.55000000000000004</v>
      </c>
      <c r="G14" s="3">
        <v>12</v>
      </c>
      <c r="H14" s="3">
        <f t="shared" si="0"/>
        <v>17</v>
      </c>
      <c r="I14" s="3">
        <f t="shared" si="1"/>
        <v>13</v>
      </c>
      <c r="J14" s="3">
        <f t="shared" si="2"/>
        <v>18</v>
      </c>
      <c r="K14" s="3">
        <f t="shared" si="3"/>
        <v>17</v>
      </c>
      <c r="L14" s="3">
        <f t="shared" si="4"/>
        <v>16</v>
      </c>
      <c r="M14" s="3">
        <f t="shared" si="5"/>
        <v>5</v>
      </c>
      <c r="N14" s="3">
        <f t="shared" si="6"/>
        <v>1</v>
      </c>
      <c r="O14" s="3">
        <f t="shared" si="7"/>
        <v>6</v>
      </c>
      <c r="P14" s="3">
        <f t="shared" si="8"/>
        <v>5</v>
      </c>
      <c r="Q14" s="3">
        <f t="shared" si="9"/>
        <v>4</v>
      </c>
      <c r="R14" s="3">
        <f t="shared" si="10"/>
        <v>25</v>
      </c>
      <c r="S14" s="3">
        <f t="shared" si="11"/>
        <v>1</v>
      </c>
      <c r="T14" s="3">
        <f t="shared" si="12"/>
        <v>36</v>
      </c>
      <c r="U14" s="3">
        <f t="shared" si="13"/>
        <v>25</v>
      </c>
      <c r="V14" s="3">
        <f t="shared" si="14"/>
        <v>16</v>
      </c>
    </row>
    <row r="15" spans="1:28" x14ac:dyDescent="0.25">
      <c r="A15" t="s">
        <v>25</v>
      </c>
      <c r="B15" s="2">
        <f>IFERROR((VLOOKUP($A15,'22-23'!$B:$L,6,FALSE)-VLOOKUP($A15,'22-23'!$B:$L,7,FALSE))/VLOOKUP($A15,'22-23'!$B:$L,2,FALSE),"")</f>
        <v>5.2631578947368418E-2</v>
      </c>
      <c r="C15" s="2">
        <f>IFERROR((VLOOKUP($A15,'23-24 First 5'!$B:$L,6,FALSE)-VLOOKUP($A15,'23-24 First 5'!$B:$L,7,FALSE))/VLOOKUP($A15,'23-24 First 5'!$B:$L,2,FALSE),"")</f>
        <v>-1</v>
      </c>
      <c r="D15" s="2">
        <f>IFERROR((VLOOKUP($A15,'23-24 First 10'!$B:$L,6,FALSE)-VLOOKUP($A15,'23-24 First 10'!$B:$L,7,FALSE))/VLOOKUP($A15,'23-24 First 10'!$B:$L,2,FALSE),"")</f>
        <v>-0.7</v>
      </c>
      <c r="E15" s="2">
        <f>IFERROR((VLOOKUP($A15,'23-24 First 15'!$B:$L,6,FALSE)-VLOOKUP($A15,'23-24 First 15'!$B:$L,7,FALSE))/VLOOKUP($A15,'23-24 First 15'!$B:$L,2,FALSE),"")</f>
        <v>-0.33333333333333331</v>
      </c>
      <c r="F15" s="2">
        <f>IFERROR((VLOOKUP($A15,'23-24 First 20'!$B:$L,6,FALSE)-VLOOKUP($A15,'23-24 First 20'!$B:$L,7,FALSE))/VLOOKUP($A15,'23-24 First 20'!$B:$L,2,FALSE),"")</f>
        <v>-0.35</v>
      </c>
      <c r="G15" s="3">
        <v>13</v>
      </c>
      <c r="H15" s="3">
        <f t="shared" si="0"/>
        <v>10</v>
      </c>
      <c r="I15" s="3">
        <f t="shared" si="1"/>
        <v>16</v>
      </c>
      <c r="J15" s="3">
        <f t="shared" si="2"/>
        <v>16</v>
      </c>
      <c r="K15" s="3">
        <f t="shared" si="3"/>
        <v>13</v>
      </c>
      <c r="L15" s="3">
        <f t="shared" si="4"/>
        <v>14</v>
      </c>
      <c r="M15" s="3">
        <f t="shared" si="5"/>
        <v>3</v>
      </c>
      <c r="N15" s="3">
        <f t="shared" si="6"/>
        <v>3</v>
      </c>
      <c r="O15" s="3">
        <f t="shared" si="7"/>
        <v>3</v>
      </c>
      <c r="P15" s="3">
        <f t="shared" si="8"/>
        <v>0</v>
      </c>
      <c r="Q15" s="3">
        <f t="shared" si="9"/>
        <v>1</v>
      </c>
      <c r="R15" s="3">
        <f t="shared" si="10"/>
        <v>9</v>
      </c>
      <c r="S15" s="3">
        <f t="shared" si="11"/>
        <v>9</v>
      </c>
      <c r="T15" s="3">
        <f t="shared" si="12"/>
        <v>9</v>
      </c>
      <c r="U15" s="3">
        <f t="shared" si="13"/>
        <v>0</v>
      </c>
      <c r="V15" s="3">
        <f t="shared" si="14"/>
        <v>1</v>
      </c>
    </row>
    <row r="16" spans="1:28" x14ac:dyDescent="0.25">
      <c r="A16" t="s">
        <v>26</v>
      </c>
      <c r="B16" s="2">
        <f>IFERROR((VLOOKUP($A16,'22-23'!$B:$L,6,FALSE)-VLOOKUP($A16,'22-23'!$B:$L,7,FALSE))/VLOOKUP($A16,'22-23'!$B:$L,2,FALSE),"")</f>
        <v>-0.23684210526315788</v>
      </c>
      <c r="C16" s="2">
        <f>IFERROR((VLOOKUP($A16,'23-24 First 5'!$B:$L,6,FALSE)-VLOOKUP($A16,'23-24 First 5'!$B:$L,7,FALSE))/VLOOKUP($A16,'23-24 First 5'!$B:$L,2,FALSE),"")</f>
        <v>-0.2</v>
      </c>
      <c r="D16" s="2">
        <f>IFERROR((VLOOKUP($A16,'23-24 First 10'!$B:$L,6,FALSE)-VLOOKUP($A16,'23-24 First 10'!$B:$L,7,FALSE))/VLOOKUP($A16,'23-24 First 10'!$B:$L,2,FALSE),"")</f>
        <v>-0.5</v>
      </c>
      <c r="E16" s="2">
        <f>IFERROR((VLOOKUP($A16,'23-24 First 15'!$B:$L,6,FALSE)-VLOOKUP($A16,'23-24 First 15'!$B:$L,7,FALSE))/VLOOKUP($A16,'23-24 First 15'!$B:$L,2,FALSE),"")</f>
        <v>-0.46666666666666667</v>
      </c>
      <c r="F16" s="2">
        <f>IFERROR((VLOOKUP($A16,'23-24 First 20'!$B:$L,6,FALSE)-VLOOKUP($A16,'23-24 First 20'!$B:$L,7,FALSE))/VLOOKUP($A16,'23-24 First 20'!$B:$L,2,FALSE),"")</f>
        <v>-0.35</v>
      </c>
      <c r="G16" s="3">
        <v>10</v>
      </c>
      <c r="H16" s="3">
        <f t="shared" si="0"/>
        <v>11</v>
      </c>
      <c r="I16" s="3">
        <f t="shared" si="1"/>
        <v>12</v>
      </c>
      <c r="J16" s="3">
        <f t="shared" si="2"/>
        <v>13</v>
      </c>
      <c r="K16" s="3">
        <f t="shared" si="3"/>
        <v>15</v>
      </c>
      <c r="L16" s="3">
        <f t="shared" si="4"/>
        <v>14</v>
      </c>
      <c r="M16" s="3">
        <f t="shared" si="5"/>
        <v>1</v>
      </c>
      <c r="N16" s="3">
        <f t="shared" si="6"/>
        <v>2</v>
      </c>
      <c r="O16" s="3">
        <f t="shared" si="7"/>
        <v>3</v>
      </c>
      <c r="P16" s="3">
        <f t="shared" si="8"/>
        <v>5</v>
      </c>
      <c r="Q16" s="3">
        <f t="shared" si="9"/>
        <v>4</v>
      </c>
      <c r="R16" s="3">
        <f t="shared" si="10"/>
        <v>1</v>
      </c>
      <c r="S16" s="3">
        <f t="shared" si="11"/>
        <v>4</v>
      </c>
      <c r="T16" s="3">
        <f t="shared" si="12"/>
        <v>9</v>
      </c>
      <c r="U16" s="3">
        <f t="shared" si="13"/>
        <v>25</v>
      </c>
      <c r="V16" s="3">
        <f t="shared" si="14"/>
        <v>16</v>
      </c>
    </row>
    <row r="17" spans="1:22" x14ac:dyDescent="0.25">
      <c r="A17" t="s">
        <v>27</v>
      </c>
      <c r="B17" s="2">
        <f>IFERROR((VLOOKUP($A17,'22-23'!$B:$L,6,FALSE)-VLOOKUP($A17,'22-23'!$B:$L,7,FALSE))/VLOOKUP($A17,'22-23'!$B:$L,2,FALSE),"")</f>
        <v>-0.78947368421052633</v>
      </c>
      <c r="C17" s="2">
        <f>IFERROR((VLOOKUP($A17,'23-24 First 5'!$B:$L,6,FALSE)-VLOOKUP($A17,'23-24 First 5'!$B:$L,7,FALSE))/VLOOKUP($A17,'23-24 First 5'!$B:$L,2,FALSE),"")</f>
        <v>0</v>
      </c>
      <c r="D17" s="2">
        <f>IFERROR((VLOOKUP($A17,'23-24 First 10'!$B:$L,6,FALSE)-VLOOKUP($A17,'23-24 First 10'!$B:$L,7,FALSE))/VLOOKUP($A17,'23-24 First 10'!$B:$L,2,FALSE),"")</f>
        <v>-0.5</v>
      </c>
      <c r="E17" s="2">
        <f>IFERROR((VLOOKUP($A17,'23-24 First 15'!$B:$L,6,FALSE)-VLOOKUP($A17,'23-24 First 15'!$B:$L,7,FALSE))/VLOOKUP($A17,'23-24 First 15'!$B:$L,2,FALSE),"")</f>
        <v>-0.73333333333333328</v>
      </c>
      <c r="F17" s="2">
        <f>IFERROR((VLOOKUP($A17,'23-24 First 20'!$B:$L,6,FALSE)-VLOOKUP($A17,'23-24 First 20'!$B:$L,7,FALSE))/VLOOKUP($A17,'23-24 First 20'!$B:$L,2,FALSE),"")</f>
        <v>-0.55000000000000004</v>
      </c>
      <c r="G17" s="3">
        <v>17</v>
      </c>
      <c r="H17" s="3">
        <f t="shared" si="0"/>
        <v>16</v>
      </c>
      <c r="I17" s="3">
        <f t="shared" si="1"/>
        <v>10</v>
      </c>
      <c r="J17" s="3">
        <f t="shared" si="2"/>
        <v>13</v>
      </c>
      <c r="K17" s="3">
        <f t="shared" si="3"/>
        <v>16</v>
      </c>
      <c r="L17" s="3">
        <f t="shared" si="4"/>
        <v>16</v>
      </c>
      <c r="M17" s="3">
        <f t="shared" si="5"/>
        <v>1</v>
      </c>
      <c r="N17" s="3">
        <f t="shared" si="6"/>
        <v>7</v>
      </c>
      <c r="O17" s="3">
        <f t="shared" si="7"/>
        <v>4</v>
      </c>
      <c r="P17" s="3">
        <f t="shared" si="8"/>
        <v>1</v>
      </c>
      <c r="Q17" s="3">
        <f t="shared" si="9"/>
        <v>1</v>
      </c>
      <c r="R17" s="3">
        <f t="shared" si="10"/>
        <v>1</v>
      </c>
      <c r="S17" s="3">
        <f t="shared" si="11"/>
        <v>49</v>
      </c>
      <c r="T17" s="3">
        <f t="shared" si="12"/>
        <v>16</v>
      </c>
      <c r="U17" s="3">
        <f t="shared" si="13"/>
        <v>1</v>
      </c>
      <c r="V17" s="3">
        <f t="shared" si="14"/>
        <v>1</v>
      </c>
    </row>
    <row r="18" spans="1:22" x14ac:dyDescent="0.25">
      <c r="A18" t="s">
        <v>28</v>
      </c>
      <c r="B18" s="2">
        <f>IFERROR((VLOOKUP($A18,'22-23'!$B:$L,6,FALSE)-VLOOKUP($A18,'22-23'!$B:$L,7,FALSE))/VLOOKUP($A18,'22-23'!$B:$L,2,FALSE),"")</f>
        <v>0.31578947368421051</v>
      </c>
      <c r="C18" s="2">
        <f>IFERROR((VLOOKUP($A18,'23-24 First 5'!$B:$L,6,FALSE)-VLOOKUP($A18,'23-24 First 5'!$B:$L,7,FALSE))/VLOOKUP($A18,'23-24 First 5'!$B:$L,2,FALSE),"")</f>
        <v>0.4</v>
      </c>
      <c r="D18" s="2">
        <f>IFERROR((VLOOKUP($A18,'23-24 First 10'!$B:$L,6,FALSE)-VLOOKUP($A18,'23-24 First 10'!$B:$L,7,FALSE))/VLOOKUP($A18,'23-24 First 10'!$B:$L,2,FALSE),"")</f>
        <v>0.4</v>
      </c>
      <c r="E18" s="2">
        <f>IFERROR((VLOOKUP($A18,'23-24 First 15'!$B:$L,6,FALSE)-VLOOKUP($A18,'23-24 First 15'!$B:$L,7,FALSE))/VLOOKUP($A18,'23-24 First 15'!$B:$L,2,FALSE),"")</f>
        <v>0.13333333333333333</v>
      </c>
      <c r="F18" s="2">
        <f>IFERROR((VLOOKUP($A18,'23-24 First 20'!$B:$L,6,FALSE)-VLOOKUP($A18,'23-24 First 20'!$B:$L,7,FALSE))/VLOOKUP($A18,'23-24 First 20'!$B:$L,2,FALSE),"")</f>
        <v>-0.2</v>
      </c>
      <c r="G18" s="3">
        <v>16</v>
      </c>
      <c r="H18" s="3">
        <f t="shared" si="0"/>
        <v>7</v>
      </c>
      <c r="I18" s="3">
        <f t="shared" si="1"/>
        <v>7</v>
      </c>
      <c r="J18" s="3">
        <f t="shared" si="2"/>
        <v>7</v>
      </c>
      <c r="K18" s="3">
        <f t="shared" si="3"/>
        <v>8</v>
      </c>
      <c r="L18" s="3">
        <f t="shared" si="4"/>
        <v>11</v>
      </c>
      <c r="M18" s="3">
        <f t="shared" si="5"/>
        <v>9</v>
      </c>
      <c r="N18" s="3">
        <f t="shared" si="6"/>
        <v>9</v>
      </c>
      <c r="O18" s="3">
        <f t="shared" si="7"/>
        <v>9</v>
      </c>
      <c r="P18" s="3">
        <f t="shared" si="8"/>
        <v>8</v>
      </c>
      <c r="Q18" s="3">
        <f t="shared" si="9"/>
        <v>5</v>
      </c>
      <c r="R18" s="3">
        <f t="shared" si="10"/>
        <v>81</v>
      </c>
      <c r="S18" s="3">
        <f t="shared" si="11"/>
        <v>81</v>
      </c>
      <c r="T18" s="3">
        <f t="shared" si="12"/>
        <v>81</v>
      </c>
      <c r="U18" s="3">
        <f t="shared" si="13"/>
        <v>64</v>
      </c>
      <c r="V18" s="3">
        <f t="shared" si="14"/>
        <v>25</v>
      </c>
    </row>
    <row r="19" spans="1:22" x14ac:dyDescent="0.25">
      <c r="A19" s="5" t="s">
        <v>29</v>
      </c>
      <c r="B19" s="6" t="str">
        <f>IFERROR((VLOOKUP($A19,'22-23'!$B:$L,6,FALSE)-VLOOKUP($A19,'22-23'!$B:$L,7,FALSE))/VLOOKUP($A19,'22-23'!$B:$L,2,FALSE),"")</f>
        <v/>
      </c>
      <c r="C19" s="6">
        <f>IFERROR((VLOOKUP($A19,'23-24 First 5'!$B:$L,6,FALSE)-VLOOKUP($A19,'23-24 First 5'!$B:$L,7,FALSE))/VLOOKUP($A19,'23-24 First 5'!$B:$L,2,FALSE),"")</f>
        <v>-1.6</v>
      </c>
      <c r="D19" s="6">
        <f>IFERROR((VLOOKUP($A19,'23-24 First 10'!$B:$L,6,FALSE)-VLOOKUP($A19,'23-24 First 10'!$B:$L,7,FALSE))/VLOOKUP($A19,'23-24 First 10'!$B:$L,2,FALSE),"")</f>
        <v>-1.1000000000000001</v>
      </c>
      <c r="E19" s="6">
        <f>IFERROR((VLOOKUP($A19,'23-24 First 15'!$B:$L,6,FALSE)-VLOOKUP($A19,'23-24 First 15'!$B:$L,7,FALSE))/VLOOKUP($A19,'23-24 First 15'!$B:$L,2,FALSE),"")</f>
        <v>-0.93333333333333335</v>
      </c>
      <c r="F19" s="6">
        <f>IFERROR((VLOOKUP($A19,'23-24 First 20'!$B:$L,6,FALSE)-VLOOKUP($A19,'23-24 First 20'!$B:$L,7,FALSE))/VLOOKUP($A19,'23-24 First 20'!$B:$L,2,FALSE),"")</f>
        <v>-0.7</v>
      </c>
      <c r="G19" s="7">
        <v>18</v>
      </c>
      <c r="H19" s="3" t="str">
        <f t="shared" si="0"/>
        <v/>
      </c>
      <c r="I19" s="3">
        <f t="shared" si="1"/>
        <v>19</v>
      </c>
      <c r="J19" s="3">
        <f t="shared" si="2"/>
        <v>17</v>
      </c>
      <c r="K19" s="3">
        <f t="shared" si="3"/>
        <v>18</v>
      </c>
      <c r="L19" s="3">
        <f t="shared" si="4"/>
        <v>18</v>
      </c>
      <c r="M19" s="3" t="str">
        <f t="shared" si="5"/>
        <v/>
      </c>
      <c r="N19" s="3">
        <f t="shared" si="6"/>
        <v>1</v>
      </c>
      <c r="O19" s="3">
        <f t="shared" si="7"/>
        <v>1</v>
      </c>
      <c r="P19" s="3">
        <f t="shared" si="8"/>
        <v>0</v>
      </c>
      <c r="Q19" s="3">
        <f t="shared" si="9"/>
        <v>0</v>
      </c>
      <c r="R19" s="3" t="str">
        <f t="shared" si="10"/>
        <v/>
      </c>
      <c r="S19" s="3">
        <f t="shared" si="11"/>
        <v>1</v>
      </c>
      <c r="T19" s="3">
        <f t="shared" si="12"/>
        <v>1</v>
      </c>
      <c r="U19" s="3">
        <f t="shared" si="13"/>
        <v>0</v>
      </c>
      <c r="V19" s="3">
        <f t="shared" si="14"/>
        <v>0</v>
      </c>
    </row>
    <row r="20" spans="1:22" x14ac:dyDescent="0.25">
      <c r="A20" s="5" t="s">
        <v>30</v>
      </c>
      <c r="B20" s="6" t="str">
        <f>IFERROR((VLOOKUP($A20,'22-23'!$B:$L,6,FALSE)-VLOOKUP($A20,'22-23'!$B:$L,7,FALSE))/VLOOKUP($A20,'22-23'!$B:$L,2,FALSE),"")</f>
        <v/>
      </c>
      <c r="C20" s="6">
        <f>IFERROR((VLOOKUP($A20,'23-24 First 5'!$B:$L,6,FALSE)-VLOOKUP($A20,'23-24 First 5'!$B:$L,7,FALSE))/VLOOKUP($A20,'23-24 First 5'!$B:$L,2,FALSE),"")</f>
        <v>-1.8</v>
      </c>
      <c r="D20" s="6">
        <f>IFERROR((VLOOKUP($A20,'23-24 First 10'!$B:$L,6,FALSE)-VLOOKUP($A20,'23-24 First 10'!$B:$L,7,FALSE))/VLOOKUP($A20,'23-24 First 10'!$B:$L,2,FALSE),"")</f>
        <v>-1.7</v>
      </c>
      <c r="E20" s="6">
        <f>IFERROR((VLOOKUP($A20,'23-24 First 15'!$B:$L,6,FALSE)-VLOOKUP($A20,'23-24 First 15'!$B:$L,7,FALSE))/VLOOKUP($A20,'23-24 First 15'!$B:$L,2,FALSE),"")</f>
        <v>-1.2</v>
      </c>
      <c r="F20" s="6">
        <f>IFERROR((VLOOKUP($A20,'23-24 First 20'!$B:$L,6,FALSE)-VLOOKUP($A20,'23-24 First 20'!$B:$L,7,FALSE))/VLOOKUP($A20,'23-24 First 20'!$B:$L,2,FALSE),"")</f>
        <v>-1.05</v>
      </c>
      <c r="G20" s="7">
        <v>19</v>
      </c>
      <c r="H20" s="3" t="str">
        <f t="shared" si="0"/>
        <v/>
      </c>
      <c r="I20" s="3">
        <f t="shared" si="1"/>
        <v>20</v>
      </c>
      <c r="J20" s="3">
        <f t="shared" si="2"/>
        <v>19</v>
      </c>
      <c r="K20" s="3">
        <f t="shared" si="3"/>
        <v>19</v>
      </c>
      <c r="L20" s="3">
        <f t="shared" si="4"/>
        <v>19</v>
      </c>
      <c r="M20" s="3" t="str">
        <f t="shared" si="5"/>
        <v/>
      </c>
      <c r="N20" s="3">
        <f t="shared" si="6"/>
        <v>1</v>
      </c>
      <c r="O20" s="3">
        <f t="shared" si="7"/>
        <v>0</v>
      </c>
      <c r="P20" s="3">
        <f t="shared" si="8"/>
        <v>0</v>
      </c>
      <c r="Q20" s="3">
        <f t="shared" si="9"/>
        <v>0</v>
      </c>
      <c r="R20" s="3" t="str">
        <f t="shared" si="10"/>
        <v/>
      </c>
      <c r="S20" s="3">
        <f t="shared" si="11"/>
        <v>1</v>
      </c>
      <c r="T20" s="3">
        <f t="shared" si="12"/>
        <v>0</v>
      </c>
      <c r="U20" s="3">
        <f t="shared" si="13"/>
        <v>0</v>
      </c>
      <c r="V20" s="3">
        <f t="shared" si="14"/>
        <v>0</v>
      </c>
    </row>
    <row r="21" spans="1:22" x14ac:dyDescent="0.25">
      <c r="A21" s="5" t="s">
        <v>31</v>
      </c>
      <c r="B21" s="6" t="str">
        <f>IFERROR((VLOOKUP($A21,'22-23'!$B:$L,6,FALSE)-VLOOKUP($A21,'22-23'!$B:$L,7,FALSE))/VLOOKUP($A21,'22-23'!$B:$L,2,FALSE),"")</f>
        <v/>
      </c>
      <c r="C21" s="6">
        <f>IFERROR((VLOOKUP($A21,'23-24 First 5'!$B:$L,6,FALSE)-VLOOKUP($A21,'23-24 First 5'!$B:$L,7,FALSE))/VLOOKUP($A21,'23-24 First 5'!$B:$L,2,FALSE),"")</f>
        <v>-0.8</v>
      </c>
      <c r="D21" s="6">
        <f>IFERROR((VLOOKUP($A21,'23-24 First 10'!$B:$L,6,FALSE)-VLOOKUP($A21,'23-24 First 10'!$B:$L,7,FALSE))/VLOOKUP($A21,'23-24 First 10'!$B:$L,2,FALSE),"")</f>
        <v>-2.2000000000000002</v>
      </c>
      <c r="E21" s="6">
        <f>IFERROR((VLOOKUP($A21,'23-24 First 15'!$B:$L,6,FALSE)-VLOOKUP($A21,'23-24 First 15'!$B:$L,7,FALSE))/VLOOKUP($A21,'23-24 First 15'!$B:$L,2,FALSE),"")</f>
        <v>-2</v>
      </c>
      <c r="F21" s="6">
        <f>IFERROR((VLOOKUP($A21,'23-24 First 20'!$B:$L,6,FALSE)-VLOOKUP($A21,'23-24 First 20'!$B:$L,7,FALSE))/VLOOKUP($A21,'23-24 First 20'!$B:$L,2,FALSE),"")</f>
        <v>-1.7</v>
      </c>
      <c r="G21" s="7">
        <v>20</v>
      </c>
      <c r="H21" s="3" t="str">
        <f t="shared" si="0"/>
        <v/>
      </c>
      <c r="I21" s="3">
        <f t="shared" si="1"/>
        <v>13</v>
      </c>
      <c r="J21" s="3">
        <f t="shared" si="2"/>
        <v>20</v>
      </c>
      <c r="K21" s="3">
        <f t="shared" si="3"/>
        <v>20</v>
      </c>
      <c r="L21" s="3">
        <f t="shared" si="4"/>
        <v>20</v>
      </c>
      <c r="M21" s="3" t="str">
        <f t="shared" si="5"/>
        <v/>
      </c>
      <c r="N21" s="3">
        <f t="shared" si="6"/>
        <v>7</v>
      </c>
      <c r="O21" s="3">
        <f t="shared" si="7"/>
        <v>0</v>
      </c>
      <c r="P21" s="3">
        <f t="shared" si="8"/>
        <v>0</v>
      </c>
      <c r="Q21" s="3">
        <f t="shared" si="9"/>
        <v>0</v>
      </c>
      <c r="R21" s="3" t="str">
        <f t="shared" si="10"/>
        <v/>
      </c>
      <c r="S21" s="3">
        <f t="shared" si="11"/>
        <v>49</v>
      </c>
      <c r="T21" s="3">
        <f t="shared" si="12"/>
        <v>0</v>
      </c>
      <c r="U21" s="3">
        <f t="shared" si="13"/>
        <v>0</v>
      </c>
      <c r="V21" s="3">
        <f t="shared" si="14"/>
        <v>0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22-23</vt:lpstr>
      <vt:lpstr>23-24 First 5</vt:lpstr>
      <vt:lpstr>23-24 First 10</vt:lpstr>
      <vt:lpstr>23-24 First 15</vt:lpstr>
      <vt:lpstr>23-24 First 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Xiwen Hu</cp:lastModifiedBy>
  <dcterms:created xsi:type="dcterms:W3CDTF">2026-04-27T18:49:11Z</dcterms:created>
  <dcterms:modified xsi:type="dcterms:W3CDTF">2026-04-27T19:23:56Z</dcterms:modified>
</cp:coreProperties>
</file>